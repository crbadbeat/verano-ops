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adisedata-my.sharepoint.com/personal/dbrown_paradisegrills_com/Documents/Paradise Grills/"/>
    </mc:Choice>
  </mc:AlternateContent>
  <xr:revisionPtr revIDLastSave="1885" documentId="8_{1DCA9959-7E8B-4C3F-A1CB-D9A7DF7C18C6}" xr6:coauthVersionLast="47" xr6:coauthVersionMax="47" xr10:uidLastSave="{A7930984-7522-489E-9C15-4DEC42F759F4}"/>
  <bookViews>
    <workbookView xWindow="-110" yWindow="-110" windowWidth="38620" windowHeight="21100" xr2:uid="{20E0AC0B-A86B-4C70-90C1-7A901C96219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25" i="1" l="1"/>
  <c r="K1025" i="1"/>
  <c r="J1025" i="1"/>
  <c r="I1025" i="1"/>
  <c r="H1025" i="1" a="1"/>
  <c r="H1025" i="1" s="1"/>
  <c r="G1025" i="1" a="1"/>
  <c r="G1025" i="1" s="1"/>
  <c r="F1025" i="1" a="1"/>
  <c r="F1025" i="1" s="1"/>
  <c r="E1025" i="1"/>
  <c r="D1025" i="1"/>
  <c r="C1025" i="1"/>
  <c r="B1025" i="1"/>
  <c r="L1024" i="1"/>
  <c r="K1024" i="1"/>
  <c r="J1024" i="1"/>
  <c r="I1024" i="1"/>
  <c r="H1024" i="1" a="1"/>
  <c r="H1024" i="1" s="1"/>
  <c r="G1024" i="1" a="1"/>
  <c r="G1024" i="1" s="1"/>
  <c r="F1024" i="1" a="1"/>
  <c r="F1024" i="1" s="1"/>
  <c r="E1024" i="1"/>
  <c r="D1024" i="1"/>
  <c r="C1024" i="1"/>
  <c r="B1024" i="1"/>
  <c r="L1023" i="1"/>
  <c r="K1023" i="1"/>
  <c r="J1023" i="1"/>
  <c r="I1023" i="1"/>
  <c r="H1023" i="1" a="1"/>
  <c r="H1023" i="1" s="1"/>
  <c r="G1023" i="1" a="1"/>
  <c r="G1023" i="1" s="1"/>
  <c r="F1023" i="1" a="1"/>
  <c r="F1023" i="1" s="1"/>
  <c r="E1023" i="1"/>
  <c r="D1023" i="1"/>
  <c r="C1023" i="1"/>
  <c r="B1023" i="1"/>
  <c r="L1022" i="1"/>
  <c r="K1022" i="1"/>
  <c r="J1022" i="1"/>
  <c r="I1022" i="1"/>
  <c r="H1022" i="1" a="1"/>
  <c r="H1022" i="1" s="1"/>
  <c r="G1022" i="1" a="1"/>
  <c r="G1022" i="1" s="1"/>
  <c r="F1022" i="1" a="1"/>
  <c r="F1022" i="1" s="1"/>
  <c r="E1022" i="1"/>
  <c r="D1022" i="1"/>
  <c r="C1022" i="1"/>
  <c r="B1022" i="1"/>
  <c r="L1021" i="1"/>
  <c r="K1021" i="1"/>
  <c r="J1021" i="1"/>
  <c r="I1021" i="1"/>
  <c r="H1021" i="1" a="1"/>
  <c r="H1021" i="1" s="1"/>
  <c r="G1021" i="1" a="1"/>
  <c r="G1021" i="1" s="1"/>
  <c r="F1021" i="1" a="1"/>
  <c r="F1021" i="1" s="1"/>
  <c r="E1021" i="1"/>
  <c r="D1021" i="1"/>
  <c r="C1021" i="1"/>
  <c r="B1021" i="1"/>
  <c r="L1020" i="1"/>
  <c r="K1020" i="1"/>
  <c r="J1020" i="1"/>
  <c r="I1020" i="1"/>
  <c r="H1020" i="1" a="1"/>
  <c r="H1020" i="1" s="1"/>
  <c r="G1020" i="1" a="1"/>
  <c r="G1020" i="1" s="1"/>
  <c r="F1020" i="1" a="1"/>
  <c r="F1020" i="1" s="1"/>
  <c r="E1020" i="1"/>
  <c r="D1020" i="1"/>
  <c r="C1020" i="1"/>
  <c r="B1020" i="1"/>
  <c r="L1019" i="1"/>
  <c r="K1019" i="1"/>
  <c r="J1019" i="1"/>
  <c r="I1019" i="1"/>
  <c r="H1019" i="1" a="1"/>
  <c r="H1019" i="1" s="1"/>
  <c r="G1019" i="1" a="1"/>
  <c r="G1019" i="1" s="1"/>
  <c r="F1019" i="1" a="1"/>
  <c r="F1019" i="1" s="1"/>
  <c r="E1019" i="1"/>
  <c r="D1019" i="1"/>
  <c r="C1019" i="1"/>
  <c r="B1019" i="1"/>
  <c r="L1018" i="1"/>
  <c r="K1018" i="1"/>
  <c r="J1018" i="1"/>
  <c r="I1018" i="1"/>
  <c r="H1018" i="1" a="1"/>
  <c r="H1018" i="1" s="1"/>
  <c r="G1018" i="1" a="1"/>
  <c r="G1018" i="1" s="1"/>
  <c r="F1018" i="1" a="1"/>
  <c r="F1018" i="1" s="1"/>
  <c r="E1018" i="1"/>
  <c r="D1018" i="1"/>
  <c r="C1018" i="1"/>
  <c r="B1018" i="1"/>
  <c r="L1017" i="1"/>
  <c r="K1017" i="1"/>
  <c r="J1017" i="1"/>
  <c r="I1017" i="1"/>
  <c r="H1017" i="1" a="1"/>
  <c r="H1017" i="1" s="1"/>
  <c r="G1017" i="1" a="1"/>
  <c r="G1017" i="1" s="1"/>
  <c r="F1017" i="1" a="1"/>
  <c r="F1017" i="1" s="1"/>
  <c r="E1017" i="1"/>
  <c r="D1017" i="1"/>
  <c r="C1017" i="1"/>
  <c r="B1017" i="1"/>
  <c r="L1016" i="1"/>
  <c r="K1016" i="1"/>
  <c r="J1016" i="1"/>
  <c r="I1016" i="1"/>
  <c r="H1016" i="1" a="1"/>
  <c r="H1016" i="1" s="1"/>
  <c r="G1016" i="1" a="1"/>
  <c r="G1016" i="1" s="1"/>
  <c r="F1016" i="1" a="1"/>
  <c r="F1016" i="1" s="1"/>
  <c r="E1016" i="1"/>
  <c r="D1016" i="1"/>
  <c r="C1016" i="1"/>
  <c r="B1016" i="1"/>
  <c r="L1015" i="1"/>
  <c r="K1015" i="1"/>
  <c r="J1015" i="1"/>
  <c r="I1015" i="1"/>
  <c r="H1015" i="1" a="1"/>
  <c r="H1015" i="1" s="1"/>
  <c r="G1015" i="1" a="1"/>
  <c r="G1015" i="1" s="1"/>
  <c r="F1015" i="1" a="1"/>
  <c r="F1015" i="1" s="1"/>
  <c r="E1015" i="1"/>
  <c r="D1015" i="1"/>
  <c r="C1015" i="1"/>
  <c r="B1015" i="1"/>
  <c r="L1014" i="1"/>
  <c r="K1014" i="1"/>
  <c r="J1014" i="1"/>
  <c r="I1014" i="1"/>
  <c r="H1014" i="1" a="1"/>
  <c r="H1014" i="1" s="1"/>
  <c r="G1014" i="1" a="1"/>
  <c r="G1014" i="1" s="1"/>
  <c r="F1014" i="1" a="1"/>
  <c r="F1014" i="1" s="1"/>
  <c r="E1014" i="1"/>
  <c r="D1014" i="1"/>
  <c r="C1014" i="1"/>
  <c r="B1014" i="1"/>
  <c r="L1013" i="1"/>
  <c r="K1013" i="1"/>
  <c r="J1013" i="1"/>
  <c r="I1013" i="1"/>
  <c r="H1013" i="1" a="1"/>
  <c r="H1013" i="1" s="1"/>
  <c r="G1013" i="1" a="1"/>
  <c r="G1013" i="1" s="1"/>
  <c r="F1013" i="1" a="1"/>
  <c r="F1013" i="1" s="1"/>
  <c r="E1013" i="1"/>
  <c r="D1013" i="1"/>
  <c r="C1013" i="1"/>
  <c r="B1013" i="1"/>
  <c r="L1012" i="1"/>
  <c r="K1012" i="1"/>
  <c r="J1012" i="1"/>
  <c r="I1012" i="1"/>
  <c r="H1012" i="1" a="1"/>
  <c r="H1012" i="1"/>
  <c r="G1012" i="1" a="1"/>
  <c r="G1012" i="1"/>
  <c r="F1012" i="1" a="1"/>
  <c r="F1012" i="1"/>
  <c r="E1012" i="1"/>
  <c r="D1012" i="1"/>
  <c r="C1012" i="1"/>
  <c r="B1012" i="1"/>
  <c r="L1011" i="1"/>
  <c r="K1011" i="1"/>
  <c r="J1011" i="1"/>
  <c r="I1011" i="1"/>
  <c r="H1011" i="1" a="1"/>
  <c r="H1011" i="1" s="1"/>
  <c r="G1011" i="1" a="1"/>
  <c r="G1011" i="1" s="1"/>
  <c r="F1011" i="1" a="1"/>
  <c r="F1011" i="1" s="1"/>
  <c r="E1011" i="1"/>
  <c r="D1011" i="1"/>
  <c r="C1011" i="1"/>
  <c r="B1011" i="1"/>
  <c r="L1010" i="1"/>
  <c r="K1010" i="1"/>
  <c r="J1010" i="1"/>
  <c r="I1010" i="1"/>
  <c r="H1010" i="1" a="1"/>
  <c r="H1010" i="1" s="1"/>
  <c r="G1010" i="1" a="1"/>
  <c r="G1010" i="1" s="1"/>
  <c r="F1010" i="1" a="1"/>
  <c r="F1010" i="1" s="1"/>
  <c r="E1010" i="1"/>
  <c r="D1010" i="1"/>
  <c r="C1010" i="1"/>
  <c r="B1010" i="1"/>
  <c r="B1009" i="1"/>
  <c r="C1009" i="1"/>
  <c r="D1009" i="1"/>
  <c r="E1009" i="1"/>
  <c r="F1009" i="1" a="1"/>
  <c r="F1009" i="1"/>
  <c r="G1009" i="1" a="1"/>
  <c r="G1009" i="1"/>
  <c r="H1009" i="1" a="1"/>
  <c r="H1009" i="1"/>
  <c r="I1009" i="1"/>
  <c r="J1009" i="1"/>
  <c r="K1009" i="1"/>
  <c r="L1009" i="1"/>
  <c r="L1008" i="1"/>
  <c r="K1008" i="1"/>
  <c r="J1008" i="1"/>
  <c r="I1008" i="1"/>
  <c r="H1008" i="1" a="1"/>
  <c r="H1008" i="1" s="1"/>
  <c r="G1008" i="1" a="1"/>
  <c r="G1008" i="1" s="1"/>
  <c r="F1008" i="1" a="1"/>
  <c r="F1008" i="1" s="1"/>
  <c r="E1008" i="1"/>
  <c r="D1008" i="1"/>
  <c r="C1008" i="1"/>
  <c r="B1008" i="1"/>
  <c r="L1007" i="1"/>
  <c r="K1007" i="1"/>
  <c r="J1007" i="1"/>
  <c r="I1007" i="1"/>
  <c r="H1007" i="1" a="1"/>
  <c r="H1007" i="1" s="1"/>
  <c r="G1007" i="1" a="1"/>
  <c r="G1007" i="1" s="1"/>
  <c r="F1007" i="1" a="1"/>
  <c r="F1007" i="1" s="1"/>
  <c r="E1007" i="1"/>
  <c r="D1007" i="1"/>
  <c r="C1007" i="1"/>
  <c r="B1007" i="1"/>
  <c r="L1006" i="1"/>
  <c r="K1006" i="1"/>
  <c r="J1006" i="1"/>
  <c r="I1006" i="1"/>
  <c r="H1006" i="1" a="1"/>
  <c r="H1006" i="1" s="1"/>
  <c r="G1006" i="1" a="1"/>
  <c r="G1006" i="1" s="1"/>
  <c r="F1006" i="1" a="1"/>
  <c r="F1006" i="1" s="1"/>
  <c r="E1006" i="1"/>
  <c r="D1006" i="1"/>
  <c r="C1006" i="1"/>
  <c r="B1006" i="1"/>
  <c r="L1005" i="1"/>
  <c r="K1005" i="1"/>
  <c r="J1005" i="1"/>
  <c r="I1005" i="1"/>
  <c r="H1005" i="1" a="1"/>
  <c r="H1005" i="1" s="1"/>
  <c r="G1005" i="1" a="1"/>
  <c r="G1005" i="1" s="1"/>
  <c r="F1005" i="1" a="1"/>
  <c r="F1005" i="1" s="1"/>
  <c r="E1005" i="1"/>
  <c r="D1005" i="1"/>
  <c r="C1005" i="1"/>
  <c r="B1005" i="1"/>
  <c r="L1004" i="1"/>
  <c r="K1004" i="1"/>
  <c r="J1004" i="1"/>
  <c r="I1004" i="1"/>
  <c r="H1004" i="1" a="1"/>
  <c r="H1004" i="1" s="1"/>
  <c r="G1004" i="1" a="1"/>
  <c r="G1004" i="1" s="1"/>
  <c r="F1004" i="1" a="1"/>
  <c r="F1004" i="1" s="1"/>
  <c r="E1004" i="1"/>
  <c r="D1004" i="1"/>
  <c r="C1004" i="1"/>
  <c r="B1004" i="1"/>
  <c r="L1003" i="1"/>
  <c r="K1003" i="1"/>
  <c r="J1003" i="1"/>
  <c r="I1003" i="1"/>
  <c r="H1003" i="1" a="1"/>
  <c r="H1003" i="1" s="1"/>
  <c r="G1003" i="1" a="1"/>
  <c r="G1003" i="1" s="1"/>
  <c r="F1003" i="1" a="1"/>
  <c r="F1003" i="1" s="1"/>
  <c r="E1003" i="1"/>
  <c r="D1003" i="1"/>
  <c r="C1003" i="1"/>
  <c r="B1003" i="1"/>
  <c r="L1002" i="1"/>
  <c r="K1002" i="1"/>
  <c r="J1002" i="1"/>
  <c r="I1002" i="1"/>
  <c r="H1002" i="1" a="1"/>
  <c r="H1002" i="1" s="1"/>
  <c r="G1002" i="1" a="1"/>
  <c r="G1002" i="1" s="1"/>
  <c r="F1002" i="1" a="1"/>
  <c r="F1002" i="1" s="1"/>
  <c r="E1002" i="1"/>
  <c r="D1002" i="1"/>
  <c r="C1002" i="1"/>
  <c r="B1002" i="1"/>
  <c r="L1001" i="1"/>
  <c r="K1001" i="1"/>
  <c r="J1001" i="1"/>
  <c r="I1001" i="1"/>
  <c r="H1001" i="1" a="1"/>
  <c r="H1001" i="1" s="1"/>
  <c r="G1001" i="1" a="1"/>
  <c r="G1001" i="1" s="1"/>
  <c r="F1001" i="1" a="1"/>
  <c r="F1001" i="1" s="1"/>
  <c r="E1001" i="1"/>
  <c r="D1001" i="1"/>
  <c r="C1001" i="1"/>
  <c r="B1001" i="1"/>
  <c r="L1000" i="1"/>
  <c r="K1000" i="1"/>
  <c r="J1000" i="1"/>
  <c r="I1000" i="1"/>
  <c r="H1000" i="1" a="1"/>
  <c r="H1000" i="1" s="1"/>
  <c r="G1000" i="1" a="1"/>
  <c r="G1000" i="1" s="1"/>
  <c r="F1000" i="1" a="1"/>
  <c r="F1000" i="1" s="1"/>
  <c r="E1000" i="1"/>
  <c r="D1000" i="1"/>
  <c r="C1000" i="1"/>
  <c r="B1000" i="1"/>
  <c r="L999" i="1"/>
  <c r="K999" i="1"/>
  <c r="J999" i="1"/>
  <c r="I999" i="1"/>
  <c r="H999" i="1" a="1"/>
  <c r="H999" i="1" s="1"/>
  <c r="G999" i="1" a="1"/>
  <c r="G999" i="1" s="1"/>
  <c r="F999" i="1" a="1"/>
  <c r="F999" i="1" s="1"/>
  <c r="E999" i="1"/>
  <c r="D999" i="1"/>
  <c r="C999" i="1"/>
  <c r="B999" i="1"/>
  <c r="L998" i="1"/>
  <c r="K998" i="1"/>
  <c r="J998" i="1"/>
  <c r="I998" i="1"/>
  <c r="H998" i="1" a="1"/>
  <c r="H998" i="1" s="1"/>
  <c r="G998" i="1" a="1"/>
  <c r="G998" i="1" s="1"/>
  <c r="F998" i="1" a="1"/>
  <c r="F998" i="1" s="1"/>
  <c r="E998" i="1"/>
  <c r="D998" i="1"/>
  <c r="C998" i="1"/>
  <c r="B998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H280" i="1" a="1"/>
  <c r="H280" i="1" s="1"/>
  <c r="G280" i="1" a="1"/>
  <c r="G280" i="1" s="1"/>
  <c r="B666" i="1" l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F666" i="1" a="1"/>
  <c r="F666" i="1" s="1"/>
  <c r="F667" i="1" a="1"/>
  <c r="F667" i="1" s="1"/>
  <c r="F668" i="1" a="1"/>
  <c r="F668" i="1" s="1"/>
  <c r="F669" i="1" a="1"/>
  <c r="F669" i="1" s="1"/>
  <c r="F670" i="1" a="1"/>
  <c r="F670" i="1" s="1"/>
  <c r="F671" i="1" a="1"/>
  <c r="F671" i="1" s="1"/>
  <c r="F672" i="1" a="1"/>
  <c r="F672" i="1" s="1"/>
  <c r="F673" i="1" a="1"/>
  <c r="F673" i="1" s="1"/>
  <c r="F674" i="1" a="1"/>
  <c r="F674" i="1" s="1"/>
  <c r="F675" i="1" a="1"/>
  <c r="F675" i="1" s="1"/>
  <c r="F676" i="1" a="1"/>
  <c r="F676" i="1" s="1"/>
  <c r="F677" i="1" a="1"/>
  <c r="F677" i="1" s="1"/>
  <c r="F678" i="1" a="1"/>
  <c r="F678" i="1" s="1"/>
  <c r="F679" i="1" a="1"/>
  <c r="F679" i="1" s="1"/>
  <c r="F680" i="1" a="1"/>
  <c r="F680" i="1" s="1"/>
  <c r="F681" i="1" a="1"/>
  <c r="F681" i="1" s="1"/>
  <c r="F682" i="1" a="1"/>
  <c r="F682" i="1" s="1"/>
  <c r="F683" i="1" a="1"/>
  <c r="F683" i="1" s="1"/>
  <c r="F684" i="1" a="1"/>
  <c r="F684" i="1" s="1"/>
  <c r="F685" i="1" a="1"/>
  <c r="F685" i="1" s="1"/>
  <c r="F686" i="1" a="1"/>
  <c r="F686" i="1" s="1"/>
  <c r="F687" i="1" a="1"/>
  <c r="F687" i="1" s="1"/>
  <c r="F688" i="1" a="1"/>
  <c r="F688" i="1" s="1"/>
  <c r="F689" i="1" a="1"/>
  <c r="F689" i="1" s="1"/>
  <c r="F690" i="1" a="1"/>
  <c r="F690" i="1" s="1"/>
  <c r="F691" i="1" a="1"/>
  <c r="F691" i="1" s="1"/>
  <c r="F692" i="1" a="1"/>
  <c r="F692" i="1" s="1"/>
  <c r="F693" i="1" a="1"/>
  <c r="F693" i="1" s="1"/>
  <c r="F694" i="1" a="1"/>
  <c r="F694" i="1" s="1"/>
  <c r="F695" i="1" a="1"/>
  <c r="F695" i="1" s="1"/>
  <c r="F696" i="1" a="1"/>
  <c r="F696" i="1" s="1"/>
  <c r="F697" i="1" a="1"/>
  <c r="F697" i="1" s="1"/>
  <c r="F698" i="1" a="1"/>
  <c r="F698" i="1" s="1"/>
  <c r="F699" i="1" a="1"/>
  <c r="F699" i="1" s="1"/>
  <c r="F700" i="1" a="1"/>
  <c r="F700" i="1" s="1"/>
  <c r="F701" i="1" a="1"/>
  <c r="F701" i="1" s="1"/>
  <c r="F702" i="1" a="1"/>
  <c r="F702" i="1" s="1"/>
  <c r="F703" i="1" a="1"/>
  <c r="F703" i="1" s="1"/>
  <c r="F704" i="1" a="1"/>
  <c r="F704" i="1" s="1"/>
  <c r="F705" i="1" a="1"/>
  <c r="F705" i="1" s="1"/>
  <c r="F706" i="1" a="1"/>
  <c r="F706" i="1" s="1"/>
  <c r="F707" i="1" a="1"/>
  <c r="F707" i="1" s="1"/>
  <c r="F708" i="1" a="1"/>
  <c r="F708" i="1" s="1"/>
  <c r="F709" i="1" a="1"/>
  <c r="F709" i="1" s="1"/>
  <c r="F710" i="1" a="1"/>
  <c r="F710" i="1" s="1"/>
  <c r="F711" i="1" a="1"/>
  <c r="F711" i="1" s="1"/>
  <c r="F712" i="1" a="1"/>
  <c r="F712" i="1" s="1"/>
  <c r="F713" i="1" a="1"/>
  <c r="F713" i="1" s="1"/>
  <c r="F714" i="1" a="1"/>
  <c r="F714" i="1" s="1"/>
  <c r="F715" i="1" a="1"/>
  <c r="F715" i="1" s="1"/>
  <c r="F716" i="1" a="1"/>
  <c r="F716" i="1" s="1"/>
  <c r="F717" i="1" a="1"/>
  <c r="F717" i="1" s="1"/>
  <c r="F718" i="1" a="1"/>
  <c r="F718" i="1" s="1"/>
  <c r="F719" i="1" a="1"/>
  <c r="F719" i="1" s="1"/>
  <c r="F720" i="1" a="1"/>
  <c r="F720" i="1" s="1"/>
  <c r="F721" i="1" a="1"/>
  <c r="F721" i="1" s="1"/>
  <c r="F722" i="1" a="1"/>
  <c r="F722" i="1" s="1"/>
  <c r="F723" i="1" a="1"/>
  <c r="F723" i="1" s="1"/>
  <c r="F724" i="1" a="1"/>
  <c r="F724" i="1" s="1"/>
  <c r="F725" i="1" a="1"/>
  <c r="F725" i="1" s="1"/>
  <c r="F726" i="1" a="1"/>
  <c r="F726" i="1" s="1"/>
  <c r="F727" i="1" a="1"/>
  <c r="F727" i="1" s="1"/>
  <c r="F728" i="1" a="1"/>
  <c r="F728" i="1" s="1"/>
  <c r="F729" i="1" a="1"/>
  <c r="F729" i="1" s="1"/>
  <c r="F730" i="1" a="1"/>
  <c r="F730" i="1" s="1"/>
  <c r="F731" i="1" a="1"/>
  <c r="F731" i="1" s="1"/>
  <c r="F732" i="1" a="1"/>
  <c r="F732" i="1" s="1"/>
  <c r="F733" i="1" a="1"/>
  <c r="F733" i="1" s="1"/>
  <c r="F734" i="1" a="1"/>
  <c r="F734" i="1" s="1"/>
  <c r="F735" i="1" a="1"/>
  <c r="F735" i="1" s="1"/>
  <c r="F736" i="1" a="1"/>
  <c r="F736" i="1" s="1"/>
  <c r="F737" i="1" a="1"/>
  <c r="F737" i="1" s="1"/>
  <c r="F738" i="1" a="1"/>
  <c r="F738" i="1" s="1"/>
  <c r="F739" i="1" a="1"/>
  <c r="F739" i="1" s="1"/>
  <c r="F740" i="1" a="1"/>
  <c r="F740" i="1" s="1"/>
  <c r="F741" i="1" a="1"/>
  <c r="F741" i="1" s="1"/>
  <c r="F742" i="1" a="1"/>
  <c r="F742" i="1" s="1"/>
  <c r="F743" i="1" a="1"/>
  <c r="F743" i="1" s="1"/>
  <c r="F744" i="1" a="1"/>
  <c r="F744" i="1" s="1"/>
  <c r="F745" i="1" a="1"/>
  <c r="F745" i="1" s="1"/>
  <c r="F746" i="1" a="1"/>
  <c r="F746" i="1" s="1"/>
  <c r="F747" i="1" a="1"/>
  <c r="F747" i="1" s="1"/>
  <c r="F748" i="1" a="1"/>
  <c r="F748" i="1" s="1"/>
  <c r="F749" i="1" a="1"/>
  <c r="F749" i="1" s="1"/>
  <c r="F750" i="1" a="1"/>
  <c r="F750" i="1" s="1"/>
  <c r="F751" i="1" a="1"/>
  <c r="F751" i="1" s="1"/>
  <c r="F752" i="1" a="1"/>
  <c r="F752" i="1" s="1"/>
  <c r="F753" i="1" a="1"/>
  <c r="F753" i="1" s="1"/>
  <c r="F754" i="1" a="1"/>
  <c r="F754" i="1" s="1"/>
  <c r="F755" i="1" a="1"/>
  <c r="F755" i="1" s="1"/>
  <c r="F756" i="1" a="1"/>
  <c r="F756" i="1" s="1"/>
  <c r="F757" i="1" a="1"/>
  <c r="F757" i="1" s="1"/>
  <c r="F758" i="1" a="1"/>
  <c r="F758" i="1" s="1"/>
  <c r="F759" i="1" a="1"/>
  <c r="F759" i="1" s="1"/>
  <c r="F760" i="1" a="1"/>
  <c r="F760" i="1" s="1"/>
  <c r="F761" i="1" a="1"/>
  <c r="F761" i="1" s="1"/>
  <c r="F762" i="1" a="1"/>
  <c r="F762" i="1" s="1"/>
  <c r="F763" i="1" a="1"/>
  <c r="F763" i="1" s="1"/>
  <c r="F764" i="1" a="1"/>
  <c r="F764" i="1" s="1"/>
  <c r="F765" i="1" a="1"/>
  <c r="F765" i="1" s="1"/>
  <c r="F766" i="1" a="1"/>
  <c r="F766" i="1" s="1"/>
  <c r="F767" i="1" a="1"/>
  <c r="F767" i="1" s="1"/>
  <c r="F768" i="1" a="1"/>
  <c r="F768" i="1" s="1"/>
  <c r="F769" i="1" a="1"/>
  <c r="F769" i="1" s="1"/>
  <c r="F770" i="1" a="1"/>
  <c r="F770" i="1" s="1"/>
  <c r="F771" i="1" a="1"/>
  <c r="F771" i="1" s="1"/>
  <c r="F772" i="1" a="1"/>
  <c r="F772" i="1" s="1"/>
  <c r="F773" i="1" a="1"/>
  <c r="F773" i="1" s="1"/>
  <c r="F774" i="1" a="1"/>
  <c r="F774" i="1" s="1"/>
  <c r="F775" i="1" a="1"/>
  <c r="F775" i="1" s="1"/>
  <c r="F776" i="1" a="1"/>
  <c r="F776" i="1" s="1"/>
  <c r="F777" i="1" a="1"/>
  <c r="F777" i="1" s="1"/>
  <c r="F778" i="1" a="1"/>
  <c r="F778" i="1" s="1"/>
  <c r="F779" i="1" a="1"/>
  <c r="F779" i="1" s="1"/>
  <c r="F780" i="1" a="1"/>
  <c r="F780" i="1" s="1"/>
  <c r="F781" i="1" a="1"/>
  <c r="F781" i="1" s="1"/>
  <c r="F782" i="1" a="1"/>
  <c r="F782" i="1" s="1"/>
  <c r="F783" i="1" a="1"/>
  <c r="F783" i="1" s="1"/>
  <c r="F784" i="1" a="1"/>
  <c r="F784" i="1" s="1"/>
  <c r="F785" i="1" a="1"/>
  <c r="F785" i="1" s="1"/>
  <c r="F786" i="1" a="1"/>
  <c r="F786" i="1" s="1"/>
  <c r="F787" i="1" a="1"/>
  <c r="F787" i="1" s="1"/>
  <c r="F788" i="1" a="1"/>
  <c r="F788" i="1" s="1"/>
  <c r="F789" i="1" a="1"/>
  <c r="F789" i="1" s="1"/>
  <c r="F790" i="1" a="1"/>
  <c r="F790" i="1" s="1"/>
  <c r="F791" i="1" a="1"/>
  <c r="F791" i="1" s="1"/>
  <c r="F792" i="1" a="1"/>
  <c r="F792" i="1" s="1"/>
  <c r="F793" i="1" a="1"/>
  <c r="F793" i="1" s="1"/>
  <c r="F794" i="1" a="1"/>
  <c r="F794" i="1" s="1"/>
  <c r="F795" i="1" a="1"/>
  <c r="F795" i="1" s="1"/>
  <c r="F796" i="1" a="1"/>
  <c r="F796" i="1" s="1"/>
  <c r="F797" i="1" a="1"/>
  <c r="F797" i="1" s="1"/>
  <c r="F798" i="1" a="1"/>
  <c r="F798" i="1" s="1"/>
  <c r="F799" i="1" a="1"/>
  <c r="F799" i="1" s="1"/>
  <c r="F800" i="1" a="1"/>
  <c r="F800" i="1" s="1"/>
  <c r="F801" i="1" a="1"/>
  <c r="F801" i="1" s="1"/>
  <c r="F802" i="1" a="1"/>
  <c r="F802" i="1" s="1"/>
  <c r="F803" i="1" a="1"/>
  <c r="F803" i="1" s="1"/>
  <c r="F804" i="1" a="1"/>
  <c r="F804" i="1" s="1"/>
  <c r="F805" i="1" a="1"/>
  <c r="F805" i="1" s="1"/>
  <c r="F806" i="1" a="1"/>
  <c r="F806" i="1" s="1"/>
  <c r="F807" i="1" a="1"/>
  <c r="F807" i="1" s="1"/>
  <c r="F808" i="1" a="1"/>
  <c r="F808" i="1" s="1"/>
  <c r="F809" i="1" a="1"/>
  <c r="F809" i="1" s="1"/>
  <c r="F810" i="1" a="1"/>
  <c r="F810" i="1" s="1"/>
  <c r="F811" i="1" a="1"/>
  <c r="F811" i="1" s="1"/>
  <c r="F812" i="1" a="1"/>
  <c r="F812" i="1" s="1"/>
  <c r="F813" i="1" a="1"/>
  <c r="F813" i="1" s="1"/>
  <c r="F814" i="1" a="1"/>
  <c r="F814" i="1" s="1"/>
  <c r="F815" i="1" a="1"/>
  <c r="F815" i="1" s="1"/>
  <c r="F816" i="1" a="1"/>
  <c r="F816" i="1" s="1"/>
  <c r="F817" i="1" a="1"/>
  <c r="F817" i="1" s="1"/>
  <c r="F818" i="1" a="1"/>
  <c r="F818" i="1" s="1"/>
  <c r="F819" i="1" a="1"/>
  <c r="F819" i="1" s="1"/>
  <c r="F820" i="1" a="1"/>
  <c r="F820" i="1" s="1"/>
  <c r="F821" i="1" a="1"/>
  <c r="F821" i="1" s="1"/>
  <c r="F822" i="1" a="1"/>
  <c r="F822" i="1" s="1"/>
  <c r="F823" i="1" a="1"/>
  <c r="F823" i="1" s="1"/>
  <c r="F824" i="1" a="1"/>
  <c r="F824" i="1" s="1"/>
  <c r="F825" i="1" a="1"/>
  <c r="F825" i="1" s="1"/>
  <c r="F826" i="1" a="1"/>
  <c r="F826" i="1" s="1"/>
  <c r="F827" i="1" a="1"/>
  <c r="F827" i="1" s="1"/>
  <c r="F828" i="1" a="1"/>
  <c r="F828" i="1" s="1"/>
  <c r="F829" i="1" a="1"/>
  <c r="F829" i="1" s="1"/>
  <c r="F830" i="1" a="1"/>
  <c r="F830" i="1" s="1"/>
  <c r="F831" i="1" a="1"/>
  <c r="F831" i="1" s="1"/>
  <c r="F832" i="1" a="1"/>
  <c r="F832" i="1" s="1"/>
  <c r="F833" i="1" a="1"/>
  <c r="F833" i="1" s="1"/>
  <c r="F834" i="1" a="1"/>
  <c r="F834" i="1" s="1"/>
  <c r="F835" i="1" a="1"/>
  <c r="F835" i="1" s="1"/>
  <c r="F836" i="1" a="1"/>
  <c r="F836" i="1" s="1"/>
  <c r="F837" i="1" a="1"/>
  <c r="F837" i="1" s="1"/>
  <c r="F838" i="1" a="1"/>
  <c r="F838" i="1" s="1"/>
  <c r="F839" i="1" a="1"/>
  <c r="F839" i="1" s="1"/>
  <c r="F840" i="1" a="1"/>
  <c r="F840" i="1" s="1"/>
  <c r="F841" i="1" a="1"/>
  <c r="F841" i="1" s="1"/>
  <c r="F842" i="1" a="1"/>
  <c r="F842" i="1" s="1"/>
  <c r="F843" i="1" a="1"/>
  <c r="F843" i="1" s="1"/>
  <c r="F844" i="1" a="1"/>
  <c r="F844" i="1" s="1"/>
  <c r="F845" i="1" a="1"/>
  <c r="F845" i="1" s="1"/>
  <c r="F846" i="1" a="1"/>
  <c r="F846" i="1" s="1"/>
  <c r="F847" i="1" a="1"/>
  <c r="F847" i="1" s="1"/>
  <c r="F848" i="1" a="1"/>
  <c r="F848" i="1" s="1"/>
  <c r="F849" i="1" a="1"/>
  <c r="F849" i="1" s="1"/>
  <c r="F850" i="1" a="1"/>
  <c r="F850" i="1" s="1"/>
  <c r="F851" i="1" a="1"/>
  <c r="F851" i="1" s="1"/>
  <c r="F852" i="1" a="1"/>
  <c r="F852" i="1" s="1"/>
  <c r="F853" i="1" a="1"/>
  <c r="F853" i="1" s="1"/>
  <c r="F854" i="1" a="1"/>
  <c r="F854" i="1" s="1"/>
  <c r="F855" i="1" a="1"/>
  <c r="F855" i="1" s="1"/>
  <c r="F856" i="1" a="1"/>
  <c r="F856" i="1" s="1"/>
  <c r="F857" i="1" a="1"/>
  <c r="F857" i="1" s="1"/>
  <c r="F858" i="1" a="1"/>
  <c r="F858" i="1" s="1"/>
  <c r="F859" i="1" a="1"/>
  <c r="F859" i="1" s="1"/>
  <c r="F860" i="1" a="1"/>
  <c r="F860" i="1" s="1"/>
  <c r="F861" i="1" a="1"/>
  <c r="F861" i="1" s="1"/>
  <c r="F862" i="1" a="1"/>
  <c r="F862" i="1" s="1"/>
  <c r="F863" i="1" a="1"/>
  <c r="F863" i="1" s="1"/>
  <c r="F864" i="1" a="1"/>
  <c r="F864" i="1" s="1"/>
  <c r="F865" i="1" a="1"/>
  <c r="F865" i="1" s="1"/>
  <c r="F866" i="1" a="1"/>
  <c r="F866" i="1" s="1"/>
  <c r="F867" i="1" a="1"/>
  <c r="F867" i="1" s="1"/>
  <c r="F868" i="1" a="1"/>
  <c r="F868" i="1" s="1"/>
  <c r="F869" i="1" a="1"/>
  <c r="F869" i="1" s="1"/>
  <c r="F870" i="1" a="1"/>
  <c r="F870" i="1" s="1"/>
  <c r="F871" i="1" a="1"/>
  <c r="F871" i="1" s="1"/>
  <c r="F872" i="1" a="1"/>
  <c r="F872" i="1" s="1"/>
  <c r="F873" i="1" a="1"/>
  <c r="F873" i="1" s="1"/>
  <c r="F874" i="1" a="1"/>
  <c r="F874" i="1" s="1"/>
  <c r="F875" i="1" a="1"/>
  <c r="F875" i="1" s="1"/>
  <c r="F876" i="1" a="1"/>
  <c r="F876" i="1" s="1"/>
  <c r="F877" i="1" a="1"/>
  <c r="F877" i="1" s="1"/>
  <c r="F878" i="1" a="1"/>
  <c r="F878" i="1" s="1"/>
  <c r="F879" i="1" a="1"/>
  <c r="F879" i="1" s="1"/>
  <c r="F880" i="1" a="1"/>
  <c r="F880" i="1" s="1"/>
  <c r="F881" i="1" a="1"/>
  <c r="F881" i="1" s="1"/>
  <c r="F882" i="1" a="1"/>
  <c r="F882" i="1" s="1"/>
  <c r="F883" i="1" a="1"/>
  <c r="F883" i="1" s="1"/>
  <c r="F884" i="1" a="1"/>
  <c r="F884" i="1" s="1"/>
  <c r="F885" i="1" a="1"/>
  <c r="F885" i="1" s="1"/>
  <c r="F886" i="1" a="1"/>
  <c r="F886" i="1" s="1"/>
  <c r="F887" i="1" a="1"/>
  <c r="F887" i="1" s="1"/>
  <c r="F888" i="1" a="1"/>
  <c r="F888" i="1" s="1"/>
  <c r="F889" i="1" a="1"/>
  <c r="F889" i="1" s="1"/>
  <c r="F890" i="1" a="1"/>
  <c r="F890" i="1" s="1"/>
  <c r="F891" i="1" a="1"/>
  <c r="F891" i="1" s="1"/>
  <c r="F892" i="1" a="1"/>
  <c r="F892" i="1" s="1"/>
  <c r="F893" i="1" a="1"/>
  <c r="F893" i="1" s="1"/>
  <c r="F894" i="1" a="1"/>
  <c r="F894" i="1" s="1"/>
  <c r="F895" i="1" a="1"/>
  <c r="F895" i="1" s="1"/>
  <c r="F896" i="1" a="1"/>
  <c r="F896" i="1" s="1"/>
  <c r="F897" i="1" a="1"/>
  <c r="F897" i="1" s="1"/>
  <c r="F898" i="1" a="1"/>
  <c r="F898" i="1" s="1"/>
  <c r="F899" i="1" a="1"/>
  <c r="F899" i="1" s="1"/>
  <c r="F900" i="1" a="1"/>
  <c r="F900" i="1" s="1"/>
  <c r="F901" i="1" a="1"/>
  <c r="F901" i="1" s="1"/>
  <c r="F902" i="1" a="1"/>
  <c r="F902" i="1" s="1"/>
  <c r="F903" i="1" a="1"/>
  <c r="F903" i="1" s="1"/>
  <c r="F904" i="1" a="1"/>
  <c r="F904" i="1" s="1"/>
  <c r="F905" i="1" a="1"/>
  <c r="F905" i="1" s="1"/>
  <c r="F906" i="1" a="1"/>
  <c r="F906" i="1" s="1"/>
  <c r="F907" i="1" a="1"/>
  <c r="F907" i="1" s="1"/>
  <c r="F908" i="1" a="1"/>
  <c r="F908" i="1" s="1"/>
  <c r="F909" i="1" a="1"/>
  <c r="F909" i="1" s="1"/>
  <c r="F910" i="1" a="1"/>
  <c r="F910" i="1" s="1"/>
  <c r="F911" i="1" a="1"/>
  <c r="F911" i="1" s="1"/>
  <c r="F912" i="1" a="1"/>
  <c r="F912" i="1" s="1"/>
  <c r="F913" i="1" a="1"/>
  <c r="F913" i="1" s="1"/>
  <c r="F914" i="1" a="1"/>
  <c r="F914" i="1" s="1"/>
  <c r="F915" i="1" a="1"/>
  <c r="F915" i="1" s="1"/>
  <c r="F916" i="1" a="1"/>
  <c r="F916" i="1" s="1"/>
  <c r="F917" i="1" a="1"/>
  <c r="F917" i="1" s="1"/>
  <c r="F918" i="1" a="1"/>
  <c r="F918" i="1" s="1"/>
  <c r="F919" i="1" a="1"/>
  <c r="F919" i="1" s="1"/>
  <c r="F920" i="1" a="1"/>
  <c r="F920" i="1" s="1"/>
  <c r="F921" i="1" a="1"/>
  <c r="F921" i="1" s="1"/>
  <c r="F922" i="1" a="1"/>
  <c r="F922" i="1" s="1"/>
  <c r="F923" i="1" a="1"/>
  <c r="F923" i="1" s="1"/>
  <c r="F924" i="1" a="1"/>
  <c r="F924" i="1" s="1"/>
  <c r="F925" i="1" a="1"/>
  <c r="F925" i="1" s="1"/>
  <c r="F926" i="1" a="1"/>
  <c r="F926" i="1" s="1"/>
  <c r="F927" i="1" a="1"/>
  <c r="F927" i="1" s="1"/>
  <c r="F928" i="1" a="1"/>
  <c r="F928" i="1" s="1"/>
  <c r="F929" i="1" a="1"/>
  <c r="F929" i="1" s="1"/>
  <c r="F930" i="1" a="1"/>
  <c r="F930" i="1" s="1"/>
  <c r="F931" i="1" a="1"/>
  <c r="F931" i="1" s="1"/>
  <c r="F932" i="1" a="1"/>
  <c r="F932" i="1" s="1"/>
  <c r="F933" i="1" a="1"/>
  <c r="F933" i="1" s="1"/>
  <c r="F934" i="1" a="1"/>
  <c r="F934" i="1" s="1"/>
  <c r="F935" i="1" a="1"/>
  <c r="F935" i="1" s="1"/>
  <c r="F936" i="1" a="1"/>
  <c r="F936" i="1" s="1"/>
  <c r="F937" i="1" a="1"/>
  <c r="F937" i="1" s="1"/>
  <c r="F938" i="1" a="1"/>
  <c r="F938" i="1" s="1"/>
  <c r="F939" i="1" a="1"/>
  <c r="F939" i="1" s="1"/>
  <c r="F940" i="1" a="1"/>
  <c r="F940" i="1" s="1"/>
  <c r="F941" i="1" a="1"/>
  <c r="F941" i="1" s="1"/>
  <c r="F942" i="1" a="1"/>
  <c r="F942" i="1" s="1"/>
  <c r="F943" i="1" a="1"/>
  <c r="F943" i="1" s="1"/>
  <c r="F944" i="1" a="1"/>
  <c r="F944" i="1" s="1"/>
  <c r="F945" i="1" a="1"/>
  <c r="F945" i="1" s="1"/>
  <c r="F946" i="1" a="1"/>
  <c r="F946" i="1" s="1"/>
  <c r="F947" i="1" a="1"/>
  <c r="F947" i="1" s="1"/>
  <c r="F948" i="1" a="1"/>
  <c r="F948" i="1" s="1"/>
  <c r="F949" i="1" a="1"/>
  <c r="F949" i="1" s="1"/>
  <c r="F950" i="1" a="1"/>
  <c r="F950" i="1" s="1"/>
  <c r="F951" i="1" a="1"/>
  <c r="F951" i="1" s="1"/>
  <c r="F952" i="1" a="1"/>
  <c r="F952" i="1" s="1"/>
  <c r="F953" i="1" a="1"/>
  <c r="F953" i="1" s="1"/>
  <c r="F954" i="1" a="1"/>
  <c r="F954" i="1" s="1"/>
  <c r="F955" i="1" a="1"/>
  <c r="F955" i="1" s="1"/>
  <c r="F956" i="1" a="1"/>
  <c r="F956" i="1" s="1"/>
  <c r="F957" i="1" a="1"/>
  <c r="F957" i="1" s="1"/>
  <c r="F958" i="1" a="1"/>
  <c r="F958" i="1" s="1"/>
  <c r="F959" i="1" a="1"/>
  <c r="F959" i="1" s="1"/>
  <c r="F960" i="1" a="1"/>
  <c r="F960" i="1" s="1"/>
  <c r="F961" i="1" a="1"/>
  <c r="F961" i="1" s="1"/>
  <c r="F962" i="1" a="1"/>
  <c r="F962" i="1" s="1"/>
  <c r="F963" i="1" a="1"/>
  <c r="F963" i="1" s="1"/>
  <c r="F964" i="1" a="1"/>
  <c r="F964" i="1" s="1"/>
  <c r="F965" i="1" a="1"/>
  <c r="F965" i="1" s="1"/>
  <c r="F966" i="1" a="1"/>
  <c r="F966" i="1" s="1"/>
  <c r="F967" i="1" a="1"/>
  <c r="F967" i="1" s="1"/>
  <c r="F968" i="1" a="1"/>
  <c r="F968" i="1" s="1"/>
  <c r="F969" i="1" a="1"/>
  <c r="F969" i="1" s="1"/>
  <c r="F970" i="1" a="1"/>
  <c r="F970" i="1" s="1"/>
  <c r="F971" i="1" a="1"/>
  <c r="F971" i="1" s="1"/>
  <c r="F972" i="1" a="1"/>
  <c r="F972" i="1" s="1"/>
  <c r="F973" i="1" a="1"/>
  <c r="F973" i="1" s="1"/>
  <c r="F974" i="1" a="1"/>
  <c r="F974" i="1" s="1"/>
  <c r="F975" i="1" a="1"/>
  <c r="F975" i="1" s="1"/>
  <c r="F976" i="1" a="1"/>
  <c r="F976" i="1" s="1"/>
  <c r="F977" i="1" a="1"/>
  <c r="F977" i="1" s="1"/>
  <c r="F978" i="1" a="1"/>
  <c r="F978" i="1" s="1"/>
  <c r="F979" i="1" a="1"/>
  <c r="F979" i="1" s="1"/>
  <c r="F980" i="1" a="1"/>
  <c r="F980" i="1" s="1"/>
  <c r="F981" i="1" a="1"/>
  <c r="F981" i="1" s="1"/>
  <c r="F982" i="1" a="1"/>
  <c r="F982" i="1" s="1"/>
  <c r="F983" i="1" a="1"/>
  <c r="F983" i="1" s="1"/>
  <c r="F984" i="1" a="1"/>
  <c r="F984" i="1" s="1"/>
  <c r="F985" i="1" a="1"/>
  <c r="F985" i="1" s="1"/>
  <c r="F986" i="1" a="1"/>
  <c r="F986" i="1" s="1"/>
  <c r="F987" i="1" a="1"/>
  <c r="F987" i="1" s="1"/>
  <c r="F988" i="1" a="1"/>
  <c r="F988" i="1" s="1"/>
  <c r="F989" i="1" a="1"/>
  <c r="F989" i="1" s="1"/>
  <c r="F990" i="1" a="1"/>
  <c r="F990" i="1" s="1"/>
  <c r="F991" i="1" a="1"/>
  <c r="F991" i="1" s="1"/>
  <c r="F992" i="1" a="1"/>
  <c r="F992" i="1" s="1"/>
  <c r="F993" i="1" a="1"/>
  <c r="F993" i="1" s="1"/>
  <c r="F994" i="1" a="1"/>
  <c r="F994" i="1" s="1"/>
  <c r="F995" i="1" a="1"/>
  <c r="F995" i="1" s="1"/>
  <c r="F996" i="1" a="1"/>
  <c r="F996" i="1" s="1"/>
  <c r="F997" i="1" a="1"/>
  <c r="F997" i="1" s="1"/>
  <c r="G666" i="1" a="1"/>
  <c r="G666" i="1" s="1"/>
  <c r="G667" i="1" a="1"/>
  <c r="G667" i="1" s="1"/>
  <c r="G668" i="1" a="1"/>
  <c r="G668" i="1" s="1"/>
  <c r="G669" i="1" a="1"/>
  <c r="G669" i="1" s="1"/>
  <c r="G670" i="1" a="1"/>
  <c r="G670" i="1" s="1"/>
  <c r="G671" i="1" a="1"/>
  <c r="G671" i="1" s="1"/>
  <c r="G672" i="1" a="1"/>
  <c r="G672" i="1" s="1"/>
  <c r="G673" i="1" a="1"/>
  <c r="G673" i="1" s="1"/>
  <c r="G674" i="1" a="1"/>
  <c r="G674" i="1" s="1"/>
  <c r="G675" i="1" a="1"/>
  <c r="G675" i="1" s="1"/>
  <c r="G676" i="1" a="1"/>
  <c r="G676" i="1" s="1"/>
  <c r="G677" i="1" a="1"/>
  <c r="G677" i="1" s="1"/>
  <c r="G678" i="1" a="1"/>
  <c r="G678" i="1" s="1"/>
  <c r="G679" i="1" a="1"/>
  <c r="G679" i="1" s="1"/>
  <c r="G680" i="1" a="1"/>
  <c r="G680" i="1" s="1"/>
  <c r="G681" i="1" a="1"/>
  <c r="G681" i="1" s="1"/>
  <c r="G682" i="1" a="1"/>
  <c r="G682" i="1" s="1"/>
  <c r="G683" i="1" a="1"/>
  <c r="G683" i="1" s="1"/>
  <c r="G684" i="1" a="1"/>
  <c r="G684" i="1" s="1"/>
  <c r="G685" i="1" a="1"/>
  <c r="G685" i="1" s="1"/>
  <c r="G686" i="1" a="1"/>
  <c r="G686" i="1" s="1"/>
  <c r="G687" i="1" a="1"/>
  <c r="G687" i="1" s="1"/>
  <c r="G688" i="1" a="1"/>
  <c r="G688" i="1" s="1"/>
  <c r="G689" i="1" a="1"/>
  <c r="G689" i="1" s="1"/>
  <c r="G690" i="1" a="1"/>
  <c r="G690" i="1" s="1"/>
  <c r="G691" i="1" a="1"/>
  <c r="G691" i="1" s="1"/>
  <c r="G692" i="1" a="1"/>
  <c r="G692" i="1" s="1"/>
  <c r="G693" i="1" a="1"/>
  <c r="G693" i="1" s="1"/>
  <c r="G694" i="1" a="1"/>
  <c r="G694" i="1" s="1"/>
  <c r="G695" i="1" a="1"/>
  <c r="G695" i="1" s="1"/>
  <c r="G696" i="1" a="1"/>
  <c r="G696" i="1" s="1"/>
  <c r="G697" i="1" a="1"/>
  <c r="G697" i="1" s="1"/>
  <c r="G698" i="1" a="1"/>
  <c r="G698" i="1" s="1"/>
  <c r="G699" i="1" a="1"/>
  <c r="G699" i="1" s="1"/>
  <c r="G700" i="1" a="1"/>
  <c r="G700" i="1" s="1"/>
  <c r="G701" i="1" a="1"/>
  <c r="G701" i="1" s="1"/>
  <c r="G702" i="1" a="1"/>
  <c r="G702" i="1" s="1"/>
  <c r="G703" i="1" a="1"/>
  <c r="G703" i="1" s="1"/>
  <c r="G704" i="1" a="1"/>
  <c r="G704" i="1" s="1"/>
  <c r="G705" i="1" a="1"/>
  <c r="G705" i="1" s="1"/>
  <c r="G706" i="1" a="1"/>
  <c r="G706" i="1" s="1"/>
  <c r="G707" i="1" a="1"/>
  <c r="G707" i="1" s="1"/>
  <c r="G708" i="1" a="1"/>
  <c r="G708" i="1" s="1"/>
  <c r="G709" i="1" a="1"/>
  <c r="G709" i="1" s="1"/>
  <c r="G710" i="1" a="1"/>
  <c r="G710" i="1" s="1"/>
  <c r="G711" i="1" a="1"/>
  <c r="G711" i="1" s="1"/>
  <c r="G712" i="1" a="1"/>
  <c r="G712" i="1" s="1"/>
  <c r="G713" i="1" a="1"/>
  <c r="G713" i="1" s="1"/>
  <c r="G714" i="1" a="1"/>
  <c r="G714" i="1" s="1"/>
  <c r="G715" i="1" a="1"/>
  <c r="G715" i="1" s="1"/>
  <c r="G716" i="1" a="1"/>
  <c r="G716" i="1" s="1"/>
  <c r="G717" i="1" a="1"/>
  <c r="G717" i="1" s="1"/>
  <c r="G718" i="1" a="1"/>
  <c r="G718" i="1" s="1"/>
  <c r="G719" i="1" a="1"/>
  <c r="G719" i="1" s="1"/>
  <c r="G720" i="1" a="1"/>
  <c r="G720" i="1" s="1"/>
  <c r="G721" i="1" a="1"/>
  <c r="G721" i="1" s="1"/>
  <c r="G722" i="1" a="1"/>
  <c r="G722" i="1" s="1"/>
  <c r="G723" i="1" a="1"/>
  <c r="G723" i="1" s="1"/>
  <c r="G724" i="1" a="1"/>
  <c r="G724" i="1" s="1"/>
  <c r="G725" i="1" a="1"/>
  <c r="G725" i="1" s="1"/>
  <c r="G726" i="1" a="1"/>
  <c r="G726" i="1" s="1"/>
  <c r="G727" i="1" a="1"/>
  <c r="G727" i="1" s="1"/>
  <c r="G728" i="1" a="1"/>
  <c r="G728" i="1" s="1"/>
  <c r="G729" i="1" a="1"/>
  <c r="G729" i="1" s="1"/>
  <c r="G730" i="1" a="1"/>
  <c r="G730" i="1" s="1"/>
  <c r="G731" i="1" a="1"/>
  <c r="G731" i="1" s="1"/>
  <c r="G732" i="1" a="1"/>
  <c r="G732" i="1" s="1"/>
  <c r="G733" i="1" a="1"/>
  <c r="G733" i="1" s="1"/>
  <c r="G734" i="1" a="1"/>
  <c r="G734" i="1" s="1"/>
  <c r="G735" i="1" a="1"/>
  <c r="G735" i="1" s="1"/>
  <c r="G736" i="1" a="1"/>
  <c r="G736" i="1" s="1"/>
  <c r="G737" i="1" a="1"/>
  <c r="G737" i="1" s="1"/>
  <c r="G738" i="1" a="1"/>
  <c r="G738" i="1" s="1"/>
  <c r="G739" i="1" a="1"/>
  <c r="G739" i="1" s="1"/>
  <c r="G740" i="1" a="1"/>
  <c r="G740" i="1" s="1"/>
  <c r="G741" i="1" a="1"/>
  <c r="G741" i="1" s="1"/>
  <c r="G742" i="1" a="1"/>
  <c r="G742" i="1" s="1"/>
  <c r="G743" i="1" a="1"/>
  <c r="G743" i="1" s="1"/>
  <c r="G744" i="1" a="1"/>
  <c r="G744" i="1" s="1"/>
  <c r="G745" i="1" a="1"/>
  <c r="G745" i="1" s="1"/>
  <c r="G746" i="1" a="1"/>
  <c r="G746" i="1" s="1"/>
  <c r="G747" i="1" a="1"/>
  <c r="G747" i="1" s="1"/>
  <c r="G748" i="1" a="1"/>
  <c r="G748" i="1" s="1"/>
  <c r="G749" i="1" a="1"/>
  <c r="G749" i="1" s="1"/>
  <c r="G750" i="1" a="1"/>
  <c r="G750" i="1" s="1"/>
  <c r="G751" i="1" a="1"/>
  <c r="G751" i="1" s="1"/>
  <c r="G752" i="1" a="1"/>
  <c r="G752" i="1" s="1"/>
  <c r="G753" i="1" a="1"/>
  <c r="G753" i="1" s="1"/>
  <c r="G754" i="1" a="1"/>
  <c r="G754" i="1" s="1"/>
  <c r="G755" i="1" a="1"/>
  <c r="G755" i="1" s="1"/>
  <c r="G756" i="1" a="1"/>
  <c r="G756" i="1" s="1"/>
  <c r="G757" i="1" a="1"/>
  <c r="G757" i="1" s="1"/>
  <c r="G758" i="1" a="1"/>
  <c r="G758" i="1" s="1"/>
  <c r="G759" i="1" a="1"/>
  <c r="G759" i="1" s="1"/>
  <c r="G760" i="1" a="1"/>
  <c r="G760" i="1" s="1"/>
  <c r="G761" i="1" a="1"/>
  <c r="G761" i="1" s="1"/>
  <c r="G762" i="1" a="1"/>
  <c r="G762" i="1" s="1"/>
  <c r="G763" i="1" a="1"/>
  <c r="G763" i="1" s="1"/>
  <c r="G764" i="1" a="1"/>
  <c r="G764" i="1" s="1"/>
  <c r="G765" i="1" a="1"/>
  <c r="G765" i="1" s="1"/>
  <c r="G766" i="1" a="1"/>
  <c r="G766" i="1" s="1"/>
  <c r="G767" i="1" a="1"/>
  <c r="G767" i="1" s="1"/>
  <c r="G768" i="1" a="1"/>
  <c r="G768" i="1" s="1"/>
  <c r="G769" i="1" a="1"/>
  <c r="G769" i="1" s="1"/>
  <c r="G770" i="1" a="1"/>
  <c r="G770" i="1" s="1"/>
  <c r="G771" i="1" a="1"/>
  <c r="G771" i="1" s="1"/>
  <c r="G772" i="1" a="1"/>
  <c r="G772" i="1" s="1"/>
  <c r="G773" i="1" a="1"/>
  <c r="G773" i="1" s="1"/>
  <c r="G774" i="1" a="1"/>
  <c r="G774" i="1" s="1"/>
  <c r="G775" i="1" a="1"/>
  <c r="G775" i="1" s="1"/>
  <c r="G776" i="1" a="1"/>
  <c r="G776" i="1" s="1"/>
  <c r="G777" i="1" a="1"/>
  <c r="G777" i="1" s="1"/>
  <c r="G778" i="1" a="1"/>
  <c r="G778" i="1" s="1"/>
  <c r="G779" i="1" a="1"/>
  <c r="G779" i="1" s="1"/>
  <c r="G780" i="1" a="1"/>
  <c r="G780" i="1" s="1"/>
  <c r="G781" i="1" a="1"/>
  <c r="G781" i="1" s="1"/>
  <c r="G782" i="1" a="1"/>
  <c r="G782" i="1" s="1"/>
  <c r="G783" i="1" a="1"/>
  <c r="G783" i="1" s="1"/>
  <c r="G784" i="1" a="1"/>
  <c r="G784" i="1" s="1"/>
  <c r="G785" i="1" a="1"/>
  <c r="G785" i="1" s="1"/>
  <c r="G786" i="1" a="1"/>
  <c r="G786" i="1" s="1"/>
  <c r="G787" i="1" a="1"/>
  <c r="G787" i="1" s="1"/>
  <c r="G788" i="1" a="1"/>
  <c r="G788" i="1" s="1"/>
  <c r="G789" i="1" a="1"/>
  <c r="G789" i="1" s="1"/>
  <c r="G790" i="1" a="1"/>
  <c r="G790" i="1" s="1"/>
  <c r="G791" i="1" a="1"/>
  <c r="G791" i="1" s="1"/>
  <c r="G792" i="1" a="1"/>
  <c r="G792" i="1" s="1"/>
  <c r="G793" i="1" a="1"/>
  <c r="G793" i="1" s="1"/>
  <c r="G794" i="1" a="1"/>
  <c r="G794" i="1" s="1"/>
  <c r="G795" i="1" a="1"/>
  <c r="G795" i="1" s="1"/>
  <c r="G796" i="1" a="1"/>
  <c r="G796" i="1" s="1"/>
  <c r="G797" i="1" a="1"/>
  <c r="G797" i="1" s="1"/>
  <c r="G798" i="1" a="1"/>
  <c r="G798" i="1" s="1"/>
  <c r="G799" i="1" a="1"/>
  <c r="G799" i="1" s="1"/>
  <c r="G800" i="1" a="1"/>
  <c r="G800" i="1" s="1"/>
  <c r="G801" i="1" a="1"/>
  <c r="G801" i="1" s="1"/>
  <c r="G802" i="1" a="1"/>
  <c r="G802" i="1" s="1"/>
  <c r="G803" i="1" a="1"/>
  <c r="G803" i="1" s="1"/>
  <c r="G804" i="1" a="1"/>
  <c r="G804" i="1" s="1"/>
  <c r="G805" i="1" a="1"/>
  <c r="G805" i="1" s="1"/>
  <c r="G806" i="1" a="1"/>
  <c r="G806" i="1" s="1"/>
  <c r="G807" i="1" a="1"/>
  <c r="G807" i="1" s="1"/>
  <c r="G808" i="1" a="1"/>
  <c r="G808" i="1" s="1"/>
  <c r="G809" i="1" a="1"/>
  <c r="G809" i="1" s="1"/>
  <c r="G810" i="1" a="1"/>
  <c r="G810" i="1" s="1"/>
  <c r="G811" i="1" a="1"/>
  <c r="G811" i="1" s="1"/>
  <c r="G812" i="1" a="1"/>
  <c r="G812" i="1" s="1"/>
  <c r="G813" i="1" a="1"/>
  <c r="G813" i="1" s="1"/>
  <c r="G814" i="1" a="1"/>
  <c r="G814" i="1" s="1"/>
  <c r="G815" i="1" a="1"/>
  <c r="G815" i="1" s="1"/>
  <c r="G816" i="1" a="1"/>
  <c r="G816" i="1" s="1"/>
  <c r="G817" i="1" a="1"/>
  <c r="G817" i="1" s="1"/>
  <c r="G818" i="1" a="1"/>
  <c r="G818" i="1" s="1"/>
  <c r="G819" i="1" a="1"/>
  <c r="G819" i="1" s="1"/>
  <c r="G820" i="1" a="1"/>
  <c r="G820" i="1" s="1"/>
  <c r="G821" i="1" a="1"/>
  <c r="G821" i="1" s="1"/>
  <c r="G822" i="1" a="1"/>
  <c r="G822" i="1" s="1"/>
  <c r="G823" i="1" a="1"/>
  <c r="G823" i="1" s="1"/>
  <c r="G824" i="1" a="1"/>
  <c r="G824" i="1" s="1"/>
  <c r="G825" i="1" a="1"/>
  <c r="G825" i="1" s="1"/>
  <c r="G826" i="1" a="1"/>
  <c r="G826" i="1" s="1"/>
  <c r="G827" i="1" a="1"/>
  <c r="G827" i="1" s="1"/>
  <c r="G828" i="1" a="1"/>
  <c r="G828" i="1" s="1"/>
  <c r="G829" i="1" a="1"/>
  <c r="G829" i="1" s="1"/>
  <c r="G830" i="1" a="1"/>
  <c r="G830" i="1" s="1"/>
  <c r="G831" i="1" a="1"/>
  <c r="G831" i="1" s="1"/>
  <c r="G832" i="1" a="1"/>
  <c r="G832" i="1" s="1"/>
  <c r="G833" i="1" a="1"/>
  <c r="G833" i="1" s="1"/>
  <c r="G834" i="1" a="1"/>
  <c r="G834" i="1" s="1"/>
  <c r="G835" i="1" a="1"/>
  <c r="G835" i="1" s="1"/>
  <c r="G836" i="1" a="1"/>
  <c r="G836" i="1" s="1"/>
  <c r="G837" i="1" a="1"/>
  <c r="G837" i="1" s="1"/>
  <c r="G838" i="1" a="1"/>
  <c r="G838" i="1" s="1"/>
  <c r="G839" i="1" a="1"/>
  <c r="G839" i="1" s="1"/>
  <c r="G840" i="1" a="1"/>
  <c r="G840" i="1" s="1"/>
  <c r="G841" i="1" a="1"/>
  <c r="G841" i="1" s="1"/>
  <c r="G842" i="1" a="1"/>
  <c r="G842" i="1" s="1"/>
  <c r="G843" i="1" a="1"/>
  <c r="G843" i="1" s="1"/>
  <c r="G844" i="1" a="1"/>
  <c r="G844" i="1" s="1"/>
  <c r="G845" i="1" a="1"/>
  <c r="G845" i="1" s="1"/>
  <c r="G846" i="1" a="1"/>
  <c r="G846" i="1" s="1"/>
  <c r="G847" i="1" a="1"/>
  <c r="G847" i="1" s="1"/>
  <c r="G848" i="1" a="1"/>
  <c r="G848" i="1" s="1"/>
  <c r="G849" i="1" a="1"/>
  <c r="G849" i="1" s="1"/>
  <c r="G850" i="1" a="1"/>
  <c r="G850" i="1" s="1"/>
  <c r="G851" i="1" a="1"/>
  <c r="G851" i="1" s="1"/>
  <c r="G852" i="1" a="1"/>
  <c r="G852" i="1" s="1"/>
  <c r="G853" i="1" a="1"/>
  <c r="G853" i="1" s="1"/>
  <c r="G854" i="1" a="1"/>
  <c r="G854" i="1" s="1"/>
  <c r="G855" i="1" a="1"/>
  <c r="G855" i="1" s="1"/>
  <c r="G856" i="1" a="1"/>
  <c r="G856" i="1" s="1"/>
  <c r="G857" i="1" a="1"/>
  <c r="G857" i="1" s="1"/>
  <c r="G858" i="1" a="1"/>
  <c r="G858" i="1" s="1"/>
  <c r="G859" i="1" a="1"/>
  <c r="G859" i="1" s="1"/>
  <c r="G860" i="1" a="1"/>
  <c r="G860" i="1" s="1"/>
  <c r="G861" i="1" a="1"/>
  <c r="G861" i="1" s="1"/>
  <c r="G862" i="1" a="1"/>
  <c r="G862" i="1" s="1"/>
  <c r="G863" i="1" a="1"/>
  <c r="G863" i="1" s="1"/>
  <c r="G864" i="1" a="1"/>
  <c r="G864" i="1" s="1"/>
  <c r="G865" i="1" a="1"/>
  <c r="G865" i="1" s="1"/>
  <c r="G866" i="1" a="1"/>
  <c r="G866" i="1" s="1"/>
  <c r="G867" i="1" a="1"/>
  <c r="G867" i="1" s="1"/>
  <c r="G868" i="1" a="1"/>
  <c r="G868" i="1" s="1"/>
  <c r="G869" i="1" a="1"/>
  <c r="G869" i="1" s="1"/>
  <c r="G870" i="1" a="1"/>
  <c r="G870" i="1" s="1"/>
  <c r="G871" i="1" a="1"/>
  <c r="G871" i="1" s="1"/>
  <c r="G872" i="1" a="1"/>
  <c r="G872" i="1" s="1"/>
  <c r="G873" i="1" a="1"/>
  <c r="G873" i="1" s="1"/>
  <c r="G874" i="1" a="1"/>
  <c r="G874" i="1" s="1"/>
  <c r="G875" i="1" a="1"/>
  <c r="G875" i="1" s="1"/>
  <c r="G876" i="1" a="1"/>
  <c r="G876" i="1" s="1"/>
  <c r="G877" i="1" a="1"/>
  <c r="G877" i="1" s="1"/>
  <c r="G878" i="1" a="1"/>
  <c r="G878" i="1" s="1"/>
  <c r="G879" i="1" a="1"/>
  <c r="G879" i="1" s="1"/>
  <c r="G880" i="1" a="1"/>
  <c r="G880" i="1" s="1"/>
  <c r="G881" i="1" a="1"/>
  <c r="G881" i="1" s="1"/>
  <c r="G882" i="1" a="1"/>
  <c r="G882" i="1" s="1"/>
  <c r="G883" i="1" a="1"/>
  <c r="G883" i="1" s="1"/>
  <c r="G884" i="1" a="1"/>
  <c r="G884" i="1" s="1"/>
  <c r="G885" i="1" a="1"/>
  <c r="G885" i="1" s="1"/>
  <c r="G886" i="1" a="1"/>
  <c r="G886" i="1" s="1"/>
  <c r="G887" i="1" a="1"/>
  <c r="G887" i="1" s="1"/>
  <c r="G888" i="1" a="1"/>
  <c r="G888" i="1" s="1"/>
  <c r="G889" i="1" a="1"/>
  <c r="G889" i="1" s="1"/>
  <c r="G890" i="1" a="1"/>
  <c r="G890" i="1" s="1"/>
  <c r="G891" i="1" a="1"/>
  <c r="G891" i="1" s="1"/>
  <c r="G892" i="1" a="1"/>
  <c r="G892" i="1" s="1"/>
  <c r="G893" i="1" a="1"/>
  <c r="G893" i="1" s="1"/>
  <c r="G894" i="1" a="1"/>
  <c r="G894" i="1" s="1"/>
  <c r="G895" i="1" a="1"/>
  <c r="G895" i="1" s="1"/>
  <c r="G896" i="1" a="1"/>
  <c r="G896" i="1" s="1"/>
  <c r="G897" i="1" a="1"/>
  <c r="G897" i="1" s="1"/>
  <c r="G898" i="1" a="1"/>
  <c r="G898" i="1" s="1"/>
  <c r="G899" i="1" a="1"/>
  <c r="G899" i="1" s="1"/>
  <c r="G900" i="1" a="1"/>
  <c r="G900" i="1" s="1"/>
  <c r="G901" i="1" a="1"/>
  <c r="G901" i="1" s="1"/>
  <c r="G902" i="1" a="1"/>
  <c r="G902" i="1" s="1"/>
  <c r="G903" i="1" a="1"/>
  <c r="G903" i="1" s="1"/>
  <c r="G904" i="1" a="1"/>
  <c r="G904" i="1" s="1"/>
  <c r="G905" i="1" a="1"/>
  <c r="G905" i="1" s="1"/>
  <c r="G906" i="1" a="1"/>
  <c r="G906" i="1" s="1"/>
  <c r="G907" i="1" a="1"/>
  <c r="G907" i="1" s="1"/>
  <c r="G908" i="1" a="1"/>
  <c r="G908" i="1" s="1"/>
  <c r="G909" i="1" a="1"/>
  <c r="G909" i="1" s="1"/>
  <c r="G910" i="1" a="1"/>
  <c r="G910" i="1" s="1"/>
  <c r="G911" i="1" a="1"/>
  <c r="G911" i="1" s="1"/>
  <c r="G912" i="1" a="1"/>
  <c r="G912" i="1" s="1"/>
  <c r="G913" i="1" a="1"/>
  <c r="G913" i="1" s="1"/>
  <c r="G914" i="1" a="1"/>
  <c r="G914" i="1" s="1"/>
  <c r="G915" i="1" a="1"/>
  <c r="G915" i="1" s="1"/>
  <c r="G916" i="1" a="1"/>
  <c r="G916" i="1" s="1"/>
  <c r="G917" i="1" a="1"/>
  <c r="G917" i="1" s="1"/>
  <c r="G918" i="1" a="1"/>
  <c r="G918" i="1" s="1"/>
  <c r="G919" i="1" a="1"/>
  <c r="G919" i="1" s="1"/>
  <c r="G920" i="1" a="1"/>
  <c r="G920" i="1" s="1"/>
  <c r="G921" i="1" a="1"/>
  <c r="G921" i="1" s="1"/>
  <c r="G922" i="1" a="1"/>
  <c r="G922" i="1" s="1"/>
  <c r="G923" i="1" a="1"/>
  <c r="G923" i="1" s="1"/>
  <c r="G924" i="1" a="1"/>
  <c r="G924" i="1" s="1"/>
  <c r="G925" i="1" a="1"/>
  <c r="G925" i="1" s="1"/>
  <c r="G926" i="1" a="1"/>
  <c r="G926" i="1" s="1"/>
  <c r="G927" i="1" a="1"/>
  <c r="G927" i="1" s="1"/>
  <c r="G928" i="1" a="1"/>
  <c r="G928" i="1" s="1"/>
  <c r="G929" i="1" a="1"/>
  <c r="G929" i="1" s="1"/>
  <c r="G930" i="1" a="1"/>
  <c r="G930" i="1" s="1"/>
  <c r="G931" i="1" a="1"/>
  <c r="G931" i="1" s="1"/>
  <c r="G932" i="1" a="1"/>
  <c r="G932" i="1" s="1"/>
  <c r="G933" i="1" a="1"/>
  <c r="G933" i="1" s="1"/>
  <c r="G934" i="1" a="1"/>
  <c r="G934" i="1" s="1"/>
  <c r="G935" i="1" a="1"/>
  <c r="G935" i="1" s="1"/>
  <c r="G936" i="1" a="1"/>
  <c r="G936" i="1" s="1"/>
  <c r="G937" i="1" a="1"/>
  <c r="G937" i="1" s="1"/>
  <c r="G938" i="1" a="1"/>
  <c r="G938" i="1" s="1"/>
  <c r="G939" i="1" a="1"/>
  <c r="G939" i="1" s="1"/>
  <c r="G940" i="1" a="1"/>
  <c r="G940" i="1" s="1"/>
  <c r="G941" i="1" a="1"/>
  <c r="G941" i="1" s="1"/>
  <c r="G942" i="1" a="1"/>
  <c r="G942" i="1" s="1"/>
  <c r="G943" i="1" a="1"/>
  <c r="G943" i="1" s="1"/>
  <c r="G944" i="1" a="1"/>
  <c r="G944" i="1" s="1"/>
  <c r="G945" i="1" a="1"/>
  <c r="G945" i="1" s="1"/>
  <c r="G946" i="1" a="1"/>
  <c r="G946" i="1" s="1"/>
  <c r="G947" i="1" a="1"/>
  <c r="G947" i="1" s="1"/>
  <c r="G948" i="1" a="1"/>
  <c r="G948" i="1" s="1"/>
  <c r="G949" i="1" a="1"/>
  <c r="G949" i="1" s="1"/>
  <c r="G950" i="1" a="1"/>
  <c r="G950" i="1" s="1"/>
  <c r="G951" i="1" a="1"/>
  <c r="G951" i="1" s="1"/>
  <c r="G952" i="1" a="1"/>
  <c r="G952" i="1" s="1"/>
  <c r="G953" i="1" a="1"/>
  <c r="G953" i="1" s="1"/>
  <c r="G954" i="1" a="1"/>
  <c r="G954" i="1" s="1"/>
  <c r="G955" i="1" a="1"/>
  <c r="G955" i="1" s="1"/>
  <c r="G956" i="1" a="1"/>
  <c r="G956" i="1" s="1"/>
  <c r="G957" i="1" a="1"/>
  <c r="G957" i="1" s="1"/>
  <c r="G958" i="1" a="1"/>
  <c r="G958" i="1" s="1"/>
  <c r="G959" i="1" a="1"/>
  <c r="G959" i="1" s="1"/>
  <c r="G960" i="1" a="1"/>
  <c r="G960" i="1" s="1"/>
  <c r="G961" i="1" a="1"/>
  <c r="G961" i="1" s="1"/>
  <c r="G962" i="1" a="1"/>
  <c r="G962" i="1" s="1"/>
  <c r="G963" i="1" a="1"/>
  <c r="G963" i="1" s="1"/>
  <c r="G964" i="1" a="1"/>
  <c r="G964" i="1" s="1"/>
  <c r="G965" i="1" a="1"/>
  <c r="G965" i="1" s="1"/>
  <c r="G966" i="1" a="1"/>
  <c r="G966" i="1" s="1"/>
  <c r="G967" i="1" a="1"/>
  <c r="G967" i="1" s="1"/>
  <c r="G968" i="1" a="1"/>
  <c r="G968" i="1" s="1"/>
  <c r="G969" i="1" a="1"/>
  <c r="G969" i="1" s="1"/>
  <c r="G970" i="1" a="1"/>
  <c r="G970" i="1" s="1"/>
  <c r="G971" i="1" a="1"/>
  <c r="G971" i="1" s="1"/>
  <c r="G972" i="1" a="1"/>
  <c r="G972" i="1" s="1"/>
  <c r="G973" i="1" a="1"/>
  <c r="G973" i="1" s="1"/>
  <c r="G974" i="1" a="1"/>
  <c r="G974" i="1" s="1"/>
  <c r="G975" i="1" a="1"/>
  <c r="G975" i="1" s="1"/>
  <c r="G976" i="1" a="1"/>
  <c r="G976" i="1" s="1"/>
  <c r="G977" i="1" a="1"/>
  <c r="G977" i="1" s="1"/>
  <c r="G978" i="1" a="1"/>
  <c r="G978" i="1" s="1"/>
  <c r="G979" i="1" a="1"/>
  <c r="G979" i="1" s="1"/>
  <c r="G980" i="1" a="1"/>
  <c r="G980" i="1" s="1"/>
  <c r="G981" i="1" a="1"/>
  <c r="G981" i="1" s="1"/>
  <c r="G982" i="1" a="1"/>
  <c r="G982" i="1" s="1"/>
  <c r="G983" i="1" a="1"/>
  <c r="G983" i="1" s="1"/>
  <c r="G984" i="1" a="1"/>
  <c r="G984" i="1" s="1"/>
  <c r="G985" i="1" a="1"/>
  <c r="G985" i="1" s="1"/>
  <c r="G986" i="1" a="1"/>
  <c r="G986" i="1" s="1"/>
  <c r="G987" i="1" a="1"/>
  <c r="G987" i="1" s="1"/>
  <c r="G988" i="1" a="1"/>
  <c r="G988" i="1" s="1"/>
  <c r="G989" i="1" a="1"/>
  <c r="G989" i="1" s="1"/>
  <c r="G990" i="1" a="1"/>
  <c r="G990" i="1" s="1"/>
  <c r="G991" i="1" a="1"/>
  <c r="G991" i="1" s="1"/>
  <c r="G992" i="1" a="1"/>
  <c r="G992" i="1" s="1"/>
  <c r="G993" i="1" a="1"/>
  <c r="G993" i="1" s="1"/>
  <c r="G994" i="1" a="1"/>
  <c r="G994" i="1" s="1"/>
  <c r="G995" i="1" a="1"/>
  <c r="G995" i="1" s="1"/>
  <c r="G996" i="1" a="1"/>
  <c r="G996" i="1" s="1"/>
  <c r="G997" i="1" a="1"/>
  <c r="G997" i="1" s="1"/>
  <c r="H666" i="1" a="1"/>
  <c r="H666" i="1" s="1"/>
  <c r="H667" i="1" a="1"/>
  <c r="H667" i="1" s="1"/>
  <c r="H668" i="1" a="1"/>
  <c r="H668" i="1" s="1"/>
  <c r="H669" i="1" a="1"/>
  <c r="H669" i="1" s="1"/>
  <c r="H670" i="1" a="1"/>
  <c r="H670" i="1" s="1"/>
  <c r="H671" i="1" a="1"/>
  <c r="H671" i="1" s="1"/>
  <c r="H672" i="1" a="1"/>
  <c r="H672" i="1" s="1"/>
  <c r="H673" i="1" a="1"/>
  <c r="H673" i="1" s="1"/>
  <c r="H674" i="1" a="1"/>
  <c r="H674" i="1" s="1"/>
  <c r="H675" i="1" a="1"/>
  <c r="H675" i="1" s="1"/>
  <c r="H676" i="1" a="1"/>
  <c r="H676" i="1" s="1"/>
  <c r="H677" i="1" a="1"/>
  <c r="H677" i="1" s="1"/>
  <c r="H678" i="1" a="1"/>
  <c r="H678" i="1" s="1"/>
  <c r="H679" i="1" a="1"/>
  <c r="H679" i="1" s="1"/>
  <c r="H680" i="1" a="1"/>
  <c r="H680" i="1" s="1"/>
  <c r="H681" i="1" a="1"/>
  <c r="H681" i="1" s="1"/>
  <c r="H682" i="1" a="1"/>
  <c r="H682" i="1" s="1"/>
  <c r="H683" i="1" a="1"/>
  <c r="H683" i="1" s="1"/>
  <c r="H684" i="1" a="1"/>
  <c r="H684" i="1" s="1"/>
  <c r="H685" i="1" a="1"/>
  <c r="H685" i="1" s="1"/>
  <c r="H686" i="1" a="1"/>
  <c r="H686" i="1" s="1"/>
  <c r="H687" i="1" a="1"/>
  <c r="H687" i="1" s="1"/>
  <c r="H688" i="1" a="1"/>
  <c r="H688" i="1" s="1"/>
  <c r="H689" i="1" a="1"/>
  <c r="H689" i="1" s="1"/>
  <c r="H690" i="1" a="1"/>
  <c r="H690" i="1" s="1"/>
  <c r="H691" i="1" a="1"/>
  <c r="H691" i="1" s="1"/>
  <c r="H692" i="1" a="1"/>
  <c r="H692" i="1" s="1"/>
  <c r="H693" i="1" a="1"/>
  <c r="H693" i="1" s="1"/>
  <c r="H694" i="1" a="1"/>
  <c r="H694" i="1" s="1"/>
  <c r="H695" i="1" a="1"/>
  <c r="H695" i="1" s="1"/>
  <c r="H696" i="1" a="1"/>
  <c r="H696" i="1" s="1"/>
  <c r="H697" i="1" a="1"/>
  <c r="H697" i="1" s="1"/>
  <c r="H698" i="1" a="1"/>
  <c r="H698" i="1" s="1"/>
  <c r="H699" i="1" a="1"/>
  <c r="H699" i="1" s="1"/>
  <c r="H700" i="1" a="1"/>
  <c r="H700" i="1" s="1"/>
  <c r="H701" i="1" a="1"/>
  <c r="H701" i="1" s="1"/>
  <c r="H702" i="1" a="1"/>
  <c r="H702" i="1" s="1"/>
  <c r="H703" i="1" a="1"/>
  <c r="H703" i="1" s="1"/>
  <c r="H704" i="1" a="1"/>
  <c r="H704" i="1" s="1"/>
  <c r="H705" i="1" a="1"/>
  <c r="H705" i="1" s="1"/>
  <c r="H706" i="1" a="1"/>
  <c r="H706" i="1" s="1"/>
  <c r="H707" i="1" a="1"/>
  <c r="H707" i="1" s="1"/>
  <c r="H708" i="1" a="1"/>
  <c r="H708" i="1" s="1"/>
  <c r="H709" i="1" a="1"/>
  <c r="H709" i="1" s="1"/>
  <c r="H710" i="1" a="1"/>
  <c r="H710" i="1" s="1"/>
  <c r="H711" i="1" a="1"/>
  <c r="H711" i="1" s="1"/>
  <c r="H712" i="1" a="1"/>
  <c r="H712" i="1" s="1"/>
  <c r="H713" i="1" a="1"/>
  <c r="H713" i="1" s="1"/>
  <c r="H714" i="1" a="1"/>
  <c r="H714" i="1" s="1"/>
  <c r="H715" i="1" a="1"/>
  <c r="H715" i="1" s="1"/>
  <c r="H716" i="1" a="1"/>
  <c r="H716" i="1" s="1"/>
  <c r="H717" i="1" a="1"/>
  <c r="H717" i="1" s="1"/>
  <c r="H718" i="1" a="1"/>
  <c r="H718" i="1" s="1"/>
  <c r="H719" i="1" a="1"/>
  <c r="H719" i="1" s="1"/>
  <c r="H720" i="1" a="1"/>
  <c r="H720" i="1" s="1"/>
  <c r="H721" i="1" a="1"/>
  <c r="H721" i="1" s="1"/>
  <c r="H722" i="1" a="1"/>
  <c r="H722" i="1" s="1"/>
  <c r="H723" i="1" a="1"/>
  <c r="H723" i="1" s="1"/>
  <c r="H724" i="1" a="1"/>
  <c r="H724" i="1" s="1"/>
  <c r="H725" i="1" a="1"/>
  <c r="H725" i="1" s="1"/>
  <c r="H726" i="1" a="1"/>
  <c r="H726" i="1" s="1"/>
  <c r="H727" i="1" a="1"/>
  <c r="H727" i="1" s="1"/>
  <c r="H728" i="1" a="1"/>
  <c r="H728" i="1" s="1"/>
  <c r="H729" i="1" a="1"/>
  <c r="H729" i="1" s="1"/>
  <c r="H730" i="1" a="1"/>
  <c r="H730" i="1" s="1"/>
  <c r="H731" i="1" a="1"/>
  <c r="H731" i="1" s="1"/>
  <c r="H732" i="1" a="1"/>
  <c r="H732" i="1" s="1"/>
  <c r="H733" i="1" a="1"/>
  <c r="H733" i="1" s="1"/>
  <c r="H734" i="1" a="1"/>
  <c r="H734" i="1" s="1"/>
  <c r="H735" i="1" a="1"/>
  <c r="H735" i="1" s="1"/>
  <c r="H736" i="1" a="1"/>
  <c r="H736" i="1" s="1"/>
  <c r="H737" i="1" a="1"/>
  <c r="H737" i="1" s="1"/>
  <c r="H738" i="1" a="1"/>
  <c r="H738" i="1" s="1"/>
  <c r="H739" i="1" a="1"/>
  <c r="H739" i="1" s="1"/>
  <c r="H740" i="1" a="1"/>
  <c r="H740" i="1" s="1"/>
  <c r="H741" i="1" a="1"/>
  <c r="H741" i="1" s="1"/>
  <c r="H742" i="1" a="1"/>
  <c r="H742" i="1" s="1"/>
  <c r="H743" i="1" a="1"/>
  <c r="H743" i="1" s="1"/>
  <c r="H744" i="1" a="1"/>
  <c r="H744" i="1" s="1"/>
  <c r="H745" i="1" a="1"/>
  <c r="H745" i="1" s="1"/>
  <c r="H746" i="1" a="1"/>
  <c r="H746" i="1" s="1"/>
  <c r="H747" i="1" a="1"/>
  <c r="H747" i="1" s="1"/>
  <c r="H748" i="1" a="1"/>
  <c r="H748" i="1" s="1"/>
  <c r="H749" i="1" a="1"/>
  <c r="H749" i="1" s="1"/>
  <c r="H750" i="1" a="1"/>
  <c r="H750" i="1" s="1"/>
  <c r="H751" i="1" a="1"/>
  <c r="H751" i="1" s="1"/>
  <c r="H752" i="1" a="1"/>
  <c r="H752" i="1" s="1"/>
  <c r="H753" i="1" a="1"/>
  <c r="H753" i="1" s="1"/>
  <c r="H754" i="1" a="1"/>
  <c r="H754" i="1" s="1"/>
  <c r="H755" i="1" a="1"/>
  <c r="H755" i="1" s="1"/>
  <c r="H756" i="1" a="1"/>
  <c r="H756" i="1" s="1"/>
  <c r="H757" i="1" a="1"/>
  <c r="H757" i="1" s="1"/>
  <c r="H758" i="1" a="1"/>
  <c r="H758" i="1" s="1"/>
  <c r="H759" i="1" a="1"/>
  <c r="H759" i="1" s="1"/>
  <c r="H760" i="1" a="1"/>
  <c r="H760" i="1" s="1"/>
  <c r="H761" i="1" a="1"/>
  <c r="H761" i="1" s="1"/>
  <c r="H762" i="1" a="1"/>
  <c r="H762" i="1" s="1"/>
  <c r="H763" i="1" a="1"/>
  <c r="H763" i="1" s="1"/>
  <c r="H764" i="1" a="1"/>
  <c r="H764" i="1" s="1"/>
  <c r="H765" i="1" a="1"/>
  <c r="H765" i="1" s="1"/>
  <c r="H766" i="1" a="1"/>
  <c r="H766" i="1" s="1"/>
  <c r="H767" i="1" a="1"/>
  <c r="H767" i="1" s="1"/>
  <c r="H768" i="1" a="1"/>
  <c r="H768" i="1" s="1"/>
  <c r="H769" i="1" a="1"/>
  <c r="H769" i="1" s="1"/>
  <c r="H770" i="1" a="1"/>
  <c r="H770" i="1" s="1"/>
  <c r="H771" i="1" a="1"/>
  <c r="H771" i="1" s="1"/>
  <c r="H772" i="1" a="1"/>
  <c r="H772" i="1" s="1"/>
  <c r="H773" i="1" a="1"/>
  <c r="H773" i="1" s="1"/>
  <c r="H774" i="1" a="1"/>
  <c r="H774" i="1" s="1"/>
  <c r="H775" i="1" a="1"/>
  <c r="H775" i="1" s="1"/>
  <c r="H776" i="1" a="1"/>
  <c r="H776" i="1" s="1"/>
  <c r="H777" i="1" a="1"/>
  <c r="H777" i="1" s="1"/>
  <c r="H778" i="1" a="1"/>
  <c r="H778" i="1" s="1"/>
  <c r="H779" i="1" a="1"/>
  <c r="H779" i="1" s="1"/>
  <c r="H780" i="1" a="1"/>
  <c r="H780" i="1" s="1"/>
  <c r="H781" i="1" a="1"/>
  <c r="H781" i="1" s="1"/>
  <c r="H782" i="1" a="1"/>
  <c r="H782" i="1" s="1"/>
  <c r="H783" i="1" a="1"/>
  <c r="H783" i="1" s="1"/>
  <c r="H784" i="1" a="1"/>
  <c r="H784" i="1" s="1"/>
  <c r="H785" i="1" a="1"/>
  <c r="H785" i="1" s="1"/>
  <c r="H786" i="1" a="1"/>
  <c r="H786" i="1" s="1"/>
  <c r="H787" i="1" a="1"/>
  <c r="H787" i="1" s="1"/>
  <c r="H788" i="1" a="1"/>
  <c r="H788" i="1" s="1"/>
  <c r="H789" i="1" a="1"/>
  <c r="H789" i="1" s="1"/>
  <c r="H790" i="1" a="1"/>
  <c r="H790" i="1" s="1"/>
  <c r="H791" i="1" a="1"/>
  <c r="H791" i="1" s="1"/>
  <c r="H792" i="1" a="1"/>
  <c r="H792" i="1" s="1"/>
  <c r="H793" i="1" a="1"/>
  <c r="H793" i="1" s="1"/>
  <c r="H794" i="1" a="1"/>
  <c r="H794" i="1" s="1"/>
  <c r="H795" i="1" a="1"/>
  <c r="H795" i="1" s="1"/>
  <c r="H796" i="1" a="1"/>
  <c r="H796" i="1" s="1"/>
  <c r="H797" i="1" a="1"/>
  <c r="H797" i="1" s="1"/>
  <c r="H798" i="1" a="1"/>
  <c r="H798" i="1" s="1"/>
  <c r="H799" i="1" a="1"/>
  <c r="H799" i="1" s="1"/>
  <c r="H800" i="1" a="1"/>
  <c r="H800" i="1" s="1"/>
  <c r="H801" i="1" a="1"/>
  <c r="H801" i="1" s="1"/>
  <c r="H802" i="1" a="1"/>
  <c r="H802" i="1" s="1"/>
  <c r="H803" i="1" a="1"/>
  <c r="H803" i="1" s="1"/>
  <c r="H804" i="1" a="1"/>
  <c r="H804" i="1" s="1"/>
  <c r="H805" i="1" a="1"/>
  <c r="H805" i="1" s="1"/>
  <c r="H806" i="1" a="1"/>
  <c r="H806" i="1" s="1"/>
  <c r="H807" i="1" a="1"/>
  <c r="H807" i="1" s="1"/>
  <c r="H808" i="1" a="1"/>
  <c r="H808" i="1" s="1"/>
  <c r="H809" i="1" a="1"/>
  <c r="H809" i="1" s="1"/>
  <c r="H810" i="1" a="1"/>
  <c r="H810" i="1" s="1"/>
  <c r="H811" i="1" a="1"/>
  <c r="H811" i="1" s="1"/>
  <c r="H812" i="1" a="1"/>
  <c r="H812" i="1" s="1"/>
  <c r="H813" i="1" a="1"/>
  <c r="H813" i="1" s="1"/>
  <c r="H814" i="1" a="1"/>
  <c r="H814" i="1" s="1"/>
  <c r="H815" i="1" a="1"/>
  <c r="H815" i="1" s="1"/>
  <c r="H816" i="1" a="1"/>
  <c r="H816" i="1" s="1"/>
  <c r="H817" i="1" a="1"/>
  <c r="H817" i="1" s="1"/>
  <c r="H818" i="1" a="1"/>
  <c r="H818" i="1" s="1"/>
  <c r="H819" i="1" a="1"/>
  <c r="H819" i="1" s="1"/>
  <c r="H820" i="1" a="1"/>
  <c r="H820" i="1" s="1"/>
  <c r="H821" i="1" a="1"/>
  <c r="H821" i="1" s="1"/>
  <c r="H822" i="1" a="1"/>
  <c r="H822" i="1" s="1"/>
  <c r="H823" i="1" a="1"/>
  <c r="H823" i="1" s="1"/>
  <c r="H824" i="1" a="1"/>
  <c r="H824" i="1" s="1"/>
  <c r="H825" i="1" a="1"/>
  <c r="H825" i="1" s="1"/>
  <c r="H826" i="1" a="1"/>
  <c r="H826" i="1" s="1"/>
  <c r="H827" i="1" a="1"/>
  <c r="H827" i="1" s="1"/>
  <c r="H828" i="1" a="1"/>
  <c r="H828" i="1" s="1"/>
  <c r="H829" i="1" a="1"/>
  <c r="H829" i="1" s="1"/>
  <c r="H830" i="1" a="1"/>
  <c r="H830" i="1" s="1"/>
  <c r="H831" i="1" a="1"/>
  <c r="H831" i="1" s="1"/>
  <c r="H832" i="1" a="1"/>
  <c r="H832" i="1" s="1"/>
  <c r="H833" i="1" a="1"/>
  <c r="H833" i="1" s="1"/>
  <c r="H834" i="1" a="1"/>
  <c r="H834" i="1" s="1"/>
  <c r="H835" i="1" a="1"/>
  <c r="H835" i="1" s="1"/>
  <c r="H836" i="1" a="1"/>
  <c r="H836" i="1" s="1"/>
  <c r="H837" i="1" a="1"/>
  <c r="H837" i="1" s="1"/>
  <c r="H838" i="1" a="1"/>
  <c r="H838" i="1" s="1"/>
  <c r="H839" i="1" a="1"/>
  <c r="H839" i="1" s="1"/>
  <c r="H840" i="1" a="1"/>
  <c r="H840" i="1" s="1"/>
  <c r="H841" i="1" a="1"/>
  <c r="H841" i="1" s="1"/>
  <c r="H842" i="1" a="1"/>
  <c r="H842" i="1" s="1"/>
  <c r="H843" i="1" a="1"/>
  <c r="H843" i="1" s="1"/>
  <c r="H844" i="1" a="1"/>
  <c r="H844" i="1" s="1"/>
  <c r="H845" i="1" a="1"/>
  <c r="H845" i="1" s="1"/>
  <c r="H846" i="1" a="1"/>
  <c r="H846" i="1" s="1"/>
  <c r="H847" i="1" a="1"/>
  <c r="H847" i="1" s="1"/>
  <c r="H848" i="1" a="1"/>
  <c r="H848" i="1" s="1"/>
  <c r="H849" i="1" a="1"/>
  <c r="H849" i="1" s="1"/>
  <c r="H850" i="1" a="1"/>
  <c r="H850" i="1" s="1"/>
  <c r="H851" i="1" a="1"/>
  <c r="H851" i="1" s="1"/>
  <c r="H852" i="1" a="1"/>
  <c r="H852" i="1" s="1"/>
  <c r="H853" i="1" a="1"/>
  <c r="H853" i="1" s="1"/>
  <c r="H854" i="1" a="1"/>
  <c r="H854" i="1" s="1"/>
  <c r="H855" i="1" a="1"/>
  <c r="H855" i="1" s="1"/>
  <c r="H856" i="1" a="1"/>
  <c r="H856" i="1" s="1"/>
  <c r="H857" i="1" a="1"/>
  <c r="H857" i="1" s="1"/>
  <c r="H858" i="1" a="1"/>
  <c r="H858" i="1" s="1"/>
  <c r="H859" i="1" a="1"/>
  <c r="H859" i="1" s="1"/>
  <c r="H860" i="1" a="1"/>
  <c r="H860" i="1" s="1"/>
  <c r="H861" i="1" a="1"/>
  <c r="H861" i="1" s="1"/>
  <c r="H862" i="1" a="1"/>
  <c r="H862" i="1" s="1"/>
  <c r="H863" i="1" a="1"/>
  <c r="H863" i="1" s="1"/>
  <c r="H864" i="1" a="1"/>
  <c r="H864" i="1" s="1"/>
  <c r="H865" i="1" a="1"/>
  <c r="H865" i="1" s="1"/>
  <c r="H866" i="1" a="1"/>
  <c r="H866" i="1" s="1"/>
  <c r="H867" i="1" a="1"/>
  <c r="H867" i="1" s="1"/>
  <c r="H868" i="1" a="1"/>
  <c r="H868" i="1" s="1"/>
  <c r="H869" i="1" a="1"/>
  <c r="H869" i="1" s="1"/>
  <c r="H870" i="1" a="1"/>
  <c r="H870" i="1" s="1"/>
  <c r="H871" i="1" a="1"/>
  <c r="H871" i="1" s="1"/>
  <c r="H872" i="1" a="1"/>
  <c r="H872" i="1" s="1"/>
  <c r="H873" i="1" a="1"/>
  <c r="H873" i="1" s="1"/>
  <c r="H874" i="1" a="1"/>
  <c r="H874" i="1" s="1"/>
  <c r="H875" i="1" a="1"/>
  <c r="H875" i="1" s="1"/>
  <c r="H876" i="1" a="1"/>
  <c r="H876" i="1" s="1"/>
  <c r="H877" i="1" a="1"/>
  <c r="H877" i="1" s="1"/>
  <c r="H878" i="1" a="1"/>
  <c r="H878" i="1" s="1"/>
  <c r="H879" i="1" a="1"/>
  <c r="H879" i="1" s="1"/>
  <c r="H880" i="1" a="1"/>
  <c r="H880" i="1" s="1"/>
  <c r="H881" i="1" a="1"/>
  <c r="H881" i="1" s="1"/>
  <c r="H882" i="1" a="1"/>
  <c r="H882" i="1" s="1"/>
  <c r="H883" i="1" a="1"/>
  <c r="H883" i="1" s="1"/>
  <c r="H884" i="1" a="1"/>
  <c r="H884" i="1" s="1"/>
  <c r="H885" i="1" a="1"/>
  <c r="H885" i="1" s="1"/>
  <c r="H886" i="1" a="1"/>
  <c r="H886" i="1" s="1"/>
  <c r="H887" i="1" a="1"/>
  <c r="H887" i="1" s="1"/>
  <c r="H888" i="1" a="1"/>
  <c r="H888" i="1" s="1"/>
  <c r="H889" i="1" a="1"/>
  <c r="H889" i="1" s="1"/>
  <c r="H890" i="1" a="1"/>
  <c r="H890" i="1" s="1"/>
  <c r="H891" i="1" a="1"/>
  <c r="H891" i="1" s="1"/>
  <c r="H892" i="1" a="1"/>
  <c r="H892" i="1" s="1"/>
  <c r="H893" i="1" a="1"/>
  <c r="H893" i="1" s="1"/>
  <c r="H894" i="1" a="1"/>
  <c r="H894" i="1" s="1"/>
  <c r="H895" i="1" a="1"/>
  <c r="H895" i="1" s="1"/>
  <c r="H896" i="1" a="1"/>
  <c r="H896" i="1" s="1"/>
  <c r="H897" i="1" a="1"/>
  <c r="H897" i="1" s="1"/>
  <c r="H898" i="1" a="1"/>
  <c r="H898" i="1" s="1"/>
  <c r="H899" i="1" a="1"/>
  <c r="H899" i="1" s="1"/>
  <c r="H900" i="1" a="1"/>
  <c r="H900" i="1" s="1"/>
  <c r="H901" i="1" a="1"/>
  <c r="H901" i="1" s="1"/>
  <c r="H902" i="1" a="1"/>
  <c r="H902" i="1" s="1"/>
  <c r="H903" i="1" a="1"/>
  <c r="H903" i="1" s="1"/>
  <c r="H904" i="1" a="1"/>
  <c r="H904" i="1" s="1"/>
  <c r="H905" i="1" a="1"/>
  <c r="H905" i="1" s="1"/>
  <c r="H906" i="1" a="1"/>
  <c r="H906" i="1" s="1"/>
  <c r="H907" i="1" a="1"/>
  <c r="H907" i="1" s="1"/>
  <c r="H908" i="1" a="1"/>
  <c r="H908" i="1" s="1"/>
  <c r="H909" i="1" a="1"/>
  <c r="H909" i="1" s="1"/>
  <c r="H910" i="1" a="1"/>
  <c r="H910" i="1" s="1"/>
  <c r="H911" i="1" a="1"/>
  <c r="H911" i="1" s="1"/>
  <c r="H912" i="1" a="1"/>
  <c r="H912" i="1" s="1"/>
  <c r="H913" i="1" a="1"/>
  <c r="H913" i="1" s="1"/>
  <c r="H914" i="1" a="1"/>
  <c r="H914" i="1" s="1"/>
  <c r="H915" i="1" a="1"/>
  <c r="H915" i="1" s="1"/>
  <c r="H916" i="1" a="1"/>
  <c r="H916" i="1" s="1"/>
  <c r="H917" i="1" a="1"/>
  <c r="H917" i="1" s="1"/>
  <c r="H918" i="1" a="1"/>
  <c r="H918" i="1" s="1"/>
  <c r="H919" i="1" a="1"/>
  <c r="H919" i="1" s="1"/>
  <c r="H920" i="1" a="1"/>
  <c r="H920" i="1" s="1"/>
  <c r="H921" i="1" a="1"/>
  <c r="H921" i="1" s="1"/>
  <c r="H922" i="1" a="1"/>
  <c r="H922" i="1" s="1"/>
  <c r="H923" i="1" a="1"/>
  <c r="H923" i="1" s="1"/>
  <c r="H924" i="1" a="1"/>
  <c r="H924" i="1" s="1"/>
  <c r="H925" i="1" a="1"/>
  <c r="H925" i="1" s="1"/>
  <c r="H926" i="1" a="1"/>
  <c r="H926" i="1" s="1"/>
  <c r="H927" i="1" a="1"/>
  <c r="H927" i="1" s="1"/>
  <c r="H928" i="1" a="1"/>
  <c r="H928" i="1" s="1"/>
  <c r="H929" i="1" a="1"/>
  <c r="H929" i="1" s="1"/>
  <c r="H930" i="1" a="1"/>
  <c r="H930" i="1" s="1"/>
  <c r="H931" i="1" a="1"/>
  <c r="H931" i="1" s="1"/>
  <c r="H932" i="1" a="1"/>
  <c r="H932" i="1" s="1"/>
  <c r="H933" i="1" a="1"/>
  <c r="H933" i="1" s="1"/>
  <c r="H934" i="1" a="1"/>
  <c r="H934" i="1" s="1"/>
  <c r="H935" i="1" a="1"/>
  <c r="H935" i="1" s="1"/>
  <c r="H936" i="1" a="1"/>
  <c r="H936" i="1" s="1"/>
  <c r="H937" i="1" a="1"/>
  <c r="H937" i="1" s="1"/>
  <c r="H938" i="1" a="1"/>
  <c r="H938" i="1" s="1"/>
  <c r="H939" i="1" a="1"/>
  <c r="H939" i="1" s="1"/>
  <c r="H940" i="1" a="1"/>
  <c r="H940" i="1" s="1"/>
  <c r="H941" i="1" a="1"/>
  <c r="H941" i="1" s="1"/>
  <c r="H942" i="1" a="1"/>
  <c r="H942" i="1" s="1"/>
  <c r="H943" i="1" a="1"/>
  <c r="H943" i="1" s="1"/>
  <c r="H944" i="1" a="1"/>
  <c r="H944" i="1" s="1"/>
  <c r="H945" i="1" a="1"/>
  <c r="H945" i="1" s="1"/>
  <c r="H946" i="1" a="1"/>
  <c r="H946" i="1" s="1"/>
  <c r="H947" i="1" a="1"/>
  <c r="H947" i="1" s="1"/>
  <c r="H948" i="1" a="1"/>
  <c r="H948" i="1" s="1"/>
  <c r="H949" i="1" a="1"/>
  <c r="H949" i="1" s="1"/>
  <c r="H950" i="1" a="1"/>
  <c r="H950" i="1" s="1"/>
  <c r="H951" i="1" a="1"/>
  <c r="H951" i="1" s="1"/>
  <c r="H952" i="1" a="1"/>
  <c r="H952" i="1" s="1"/>
  <c r="H953" i="1" a="1"/>
  <c r="H953" i="1" s="1"/>
  <c r="H954" i="1" a="1"/>
  <c r="H954" i="1" s="1"/>
  <c r="H955" i="1" a="1"/>
  <c r="H955" i="1" s="1"/>
  <c r="H956" i="1" a="1"/>
  <c r="H956" i="1" s="1"/>
  <c r="H957" i="1" a="1"/>
  <c r="H957" i="1" s="1"/>
  <c r="H958" i="1" a="1"/>
  <c r="H958" i="1" s="1"/>
  <c r="H959" i="1" a="1"/>
  <c r="H959" i="1" s="1"/>
  <c r="H960" i="1" a="1"/>
  <c r="H960" i="1" s="1"/>
  <c r="H961" i="1" a="1"/>
  <c r="H961" i="1" s="1"/>
  <c r="H962" i="1" a="1"/>
  <c r="H962" i="1" s="1"/>
  <c r="H963" i="1" a="1"/>
  <c r="H963" i="1" s="1"/>
  <c r="H964" i="1" a="1"/>
  <c r="H964" i="1" s="1"/>
  <c r="H965" i="1" a="1"/>
  <c r="H965" i="1" s="1"/>
  <c r="H966" i="1" a="1"/>
  <c r="H966" i="1" s="1"/>
  <c r="H967" i="1" a="1"/>
  <c r="H967" i="1" s="1"/>
  <c r="H968" i="1" a="1"/>
  <c r="H968" i="1" s="1"/>
  <c r="H969" i="1" a="1"/>
  <c r="H969" i="1" s="1"/>
  <c r="H970" i="1" a="1"/>
  <c r="H970" i="1" s="1"/>
  <c r="H971" i="1" a="1"/>
  <c r="H971" i="1" s="1"/>
  <c r="H972" i="1" a="1"/>
  <c r="H972" i="1" s="1"/>
  <c r="H973" i="1" a="1"/>
  <c r="H973" i="1" s="1"/>
  <c r="H974" i="1" a="1"/>
  <c r="H974" i="1" s="1"/>
  <c r="H975" i="1" a="1"/>
  <c r="H975" i="1" s="1"/>
  <c r="H976" i="1" a="1"/>
  <c r="H976" i="1" s="1"/>
  <c r="H977" i="1" a="1"/>
  <c r="H977" i="1" s="1"/>
  <c r="H978" i="1" a="1"/>
  <c r="H978" i="1" s="1"/>
  <c r="H979" i="1" a="1"/>
  <c r="H979" i="1" s="1"/>
  <c r="H980" i="1" a="1"/>
  <c r="H980" i="1" s="1"/>
  <c r="H981" i="1" a="1"/>
  <c r="H981" i="1" s="1"/>
  <c r="H982" i="1" a="1"/>
  <c r="H982" i="1" s="1"/>
  <c r="H983" i="1" a="1"/>
  <c r="H983" i="1" s="1"/>
  <c r="H984" i="1" a="1"/>
  <c r="H984" i="1" s="1"/>
  <c r="H985" i="1" a="1"/>
  <c r="H985" i="1" s="1"/>
  <c r="H986" i="1" a="1"/>
  <c r="H986" i="1" s="1"/>
  <c r="H987" i="1" a="1"/>
  <c r="H987" i="1" s="1"/>
  <c r="H988" i="1" a="1"/>
  <c r="H988" i="1" s="1"/>
  <c r="H989" i="1" a="1"/>
  <c r="H989" i="1" s="1"/>
  <c r="H990" i="1" a="1"/>
  <c r="H990" i="1" s="1"/>
  <c r="H991" i="1" a="1"/>
  <c r="H991" i="1" s="1"/>
  <c r="H992" i="1" a="1"/>
  <c r="H992" i="1" s="1"/>
  <c r="H993" i="1" a="1"/>
  <c r="H993" i="1" s="1"/>
  <c r="H994" i="1" a="1"/>
  <c r="H994" i="1" s="1"/>
  <c r="H995" i="1" a="1"/>
  <c r="H995" i="1" s="1"/>
  <c r="H996" i="1" a="1"/>
  <c r="H996" i="1" s="1"/>
  <c r="H997" i="1" a="1"/>
  <c r="H997" i="1" s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506" i="1" a="1"/>
  <c r="F506" i="1" s="1"/>
  <c r="F507" i="1" a="1"/>
  <c r="F507" i="1" s="1"/>
  <c r="F508" i="1" a="1"/>
  <c r="F508" i="1" s="1"/>
  <c r="F509" i="1" a="1"/>
  <c r="F509" i="1" s="1"/>
  <c r="F510" i="1" a="1"/>
  <c r="F510" i="1" s="1"/>
  <c r="F511" i="1" a="1"/>
  <c r="F511" i="1" s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 s="1"/>
  <c r="F519" i="1" a="1"/>
  <c r="F519" i="1" s="1"/>
  <c r="F520" i="1" a="1"/>
  <c r="F520" i="1" s="1"/>
  <c r="F521" i="1" a="1"/>
  <c r="F521" i="1" s="1"/>
  <c r="F522" i="1" a="1"/>
  <c r="F522" i="1" s="1"/>
  <c r="F523" i="1" a="1"/>
  <c r="F523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 s="1"/>
  <c r="F591" i="1" a="1"/>
  <c r="F591" i="1" s="1"/>
  <c r="F592" i="1" a="1"/>
  <c r="F592" i="1" s="1"/>
  <c r="F593" i="1" a="1"/>
  <c r="F593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 s="1"/>
  <c r="F601" i="1" a="1"/>
  <c r="F601" i="1" s="1"/>
  <c r="F602" i="1" a="1"/>
  <c r="F602" i="1" s="1"/>
  <c r="F603" i="1" a="1"/>
  <c r="F603" i="1" s="1"/>
  <c r="F604" i="1" a="1"/>
  <c r="F604" i="1" s="1"/>
  <c r="F605" i="1" a="1"/>
  <c r="F605" i="1" s="1"/>
  <c r="F606" i="1" a="1"/>
  <c r="F606" i="1" s="1"/>
  <c r="F607" i="1" a="1"/>
  <c r="F607" i="1" s="1"/>
  <c r="F608" i="1" a="1"/>
  <c r="F608" i="1" s="1"/>
  <c r="F609" i="1" a="1"/>
  <c r="F609" i="1" s="1"/>
  <c r="F610" i="1" a="1"/>
  <c r="F610" i="1" s="1"/>
  <c r="F611" i="1" a="1"/>
  <c r="F611" i="1" s="1"/>
  <c r="F612" i="1" a="1"/>
  <c r="F612" i="1" s="1"/>
  <c r="F613" i="1" a="1"/>
  <c r="F613" i="1" s="1"/>
  <c r="F614" i="1" a="1"/>
  <c r="F614" i="1" s="1"/>
  <c r="F615" i="1" a="1"/>
  <c r="F615" i="1" s="1"/>
  <c r="F616" i="1" a="1"/>
  <c r="F616" i="1" s="1"/>
  <c r="F617" i="1" a="1"/>
  <c r="F617" i="1" s="1"/>
  <c r="F618" i="1" a="1"/>
  <c r="F618" i="1" s="1"/>
  <c r="F619" i="1" a="1"/>
  <c r="F619" i="1" s="1"/>
  <c r="F620" i="1" a="1"/>
  <c r="F620" i="1" s="1"/>
  <c r="F621" i="1" a="1"/>
  <c r="F621" i="1" s="1"/>
  <c r="F622" i="1" a="1"/>
  <c r="F622" i="1" s="1"/>
  <c r="F623" i="1" a="1"/>
  <c r="F623" i="1" s="1"/>
  <c r="F624" i="1" a="1"/>
  <c r="F624" i="1" s="1"/>
  <c r="F625" i="1" a="1"/>
  <c r="F625" i="1" s="1"/>
  <c r="F626" i="1" a="1"/>
  <c r="F626" i="1" s="1"/>
  <c r="F627" i="1" a="1"/>
  <c r="F627" i="1" s="1"/>
  <c r="F628" i="1" a="1"/>
  <c r="F628" i="1" s="1"/>
  <c r="F629" i="1" a="1"/>
  <c r="F629" i="1" s="1"/>
  <c r="F630" i="1" a="1"/>
  <c r="F630" i="1" s="1"/>
  <c r="F631" i="1" a="1"/>
  <c r="F631" i="1" s="1"/>
  <c r="F632" i="1" a="1"/>
  <c r="F632" i="1" s="1"/>
  <c r="F633" i="1" a="1"/>
  <c r="F633" i="1" s="1"/>
  <c r="F634" i="1" a="1"/>
  <c r="F634" i="1" s="1"/>
  <c r="F635" i="1" a="1"/>
  <c r="F635" i="1" s="1"/>
  <c r="F636" i="1" a="1"/>
  <c r="F636" i="1" s="1"/>
  <c r="F637" i="1" a="1"/>
  <c r="F637" i="1" s="1"/>
  <c r="F638" i="1" a="1"/>
  <c r="F638" i="1" s="1"/>
  <c r="F639" i="1" a="1"/>
  <c r="F639" i="1" s="1"/>
  <c r="F640" i="1" a="1"/>
  <c r="F640" i="1" s="1"/>
  <c r="F641" i="1" a="1"/>
  <c r="F641" i="1" s="1"/>
  <c r="F642" i="1" a="1"/>
  <c r="F642" i="1" s="1"/>
  <c r="F643" i="1" a="1"/>
  <c r="F643" i="1" s="1"/>
  <c r="F644" i="1" a="1"/>
  <c r="F644" i="1" s="1"/>
  <c r="F645" i="1" a="1"/>
  <c r="F645" i="1" s="1"/>
  <c r="F646" i="1" a="1"/>
  <c r="F646" i="1" s="1"/>
  <c r="F647" i="1" a="1"/>
  <c r="F647" i="1" s="1"/>
  <c r="F648" i="1" a="1"/>
  <c r="F648" i="1" s="1"/>
  <c r="F649" i="1" a="1"/>
  <c r="F649" i="1" s="1"/>
  <c r="F650" i="1" a="1"/>
  <c r="F650" i="1" s="1"/>
  <c r="F651" i="1" a="1"/>
  <c r="F651" i="1" s="1"/>
  <c r="F652" i="1" a="1"/>
  <c r="F652" i="1" s="1"/>
  <c r="F653" i="1" a="1"/>
  <c r="F653" i="1" s="1"/>
  <c r="F654" i="1" a="1"/>
  <c r="F654" i="1" s="1"/>
  <c r="F655" i="1" a="1"/>
  <c r="F655" i="1" s="1"/>
  <c r="F656" i="1" a="1"/>
  <c r="F656" i="1" s="1"/>
  <c r="F657" i="1" a="1"/>
  <c r="F657" i="1" s="1"/>
  <c r="F658" i="1" a="1"/>
  <c r="F658" i="1" s="1"/>
  <c r="F659" i="1" a="1"/>
  <c r="F659" i="1" s="1"/>
  <c r="F660" i="1" a="1"/>
  <c r="F660" i="1" s="1"/>
  <c r="F661" i="1" a="1"/>
  <c r="F661" i="1" s="1"/>
  <c r="F662" i="1" a="1"/>
  <c r="F662" i="1" s="1"/>
  <c r="F663" i="1" a="1"/>
  <c r="F663" i="1" s="1"/>
  <c r="F664" i="1" a="1"/>
  <c r="F664" i="1" s="1"/>
  <c r="F665" i="1" a="1"/>
  <c r="F665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506" i="1" a="1"/>
  <c r="G506" i="1" s="1"/>
  <c r="G507" i="1" a="1"/>
  <c r="G507" i="1" s="1"/>
  <c r="G508" i="1" a="1"/>
  <c r="G508" i="1" s="1"/>
  <c r="G509" i="1" a="1"/>
  <c r="G509" i="1" s="1"/>
  <c r="G510" i="1" a="1"/>
  <c r="G510" i="1" s="1"/>
  <c r="G511" i="1" a="1"/>
  <c r="G511" i="1" s="1"/>
  <c r="G512" i="1" a="1"/>
  <c r="G512" i="1" s="1"/>
  <c r="G513" i="1" a="1"/>
  <c r="G513" i="1" s="1"/>
  <c r="G514" i="1" a="1"/>
  <c r="G514" i="1" s="1"/>
  <c r="G515" i="1" a="1"/>
  <c r="G515" i="1" s="1"/>
  <c r="G516" i="1" a="1"/>
  <c r="G516" i="1" s="1"/>
  <c r="G517" i="1" a="1"/>
  <c r="G517" i="1" s="1"/>
  <c r="G518" i="1" a="1"/>
  <c r="G518" i="1" s="1"/>
  <c r="G519" i="1" a="1"/>
  <c r="G519" i="1" s="1"/>
  <c r="G520" i="1" a="1"/>
  <c r="G520" i="1" s="1"/>
  <c r="G521" i="1" a="1"/>
  <c r="G521" i="1" s="1"/>
  <c r="G522" i="1" a="1"/>
  <c r="G522" i="1" s="1"/>
  <c r="G523" i="1" a="1"/>
  <c r="G523" i="1" s="1"/>
  <c r="G524" i="1" a="1"/>
  <c r="G524" i="1" s="1"/>
  <c r="G525" i="1" a="1"/>
  <c r="G525" i="1" s="1"/>
  <c r="G526" i="1" a="1"/>
  <c r="G526" i="1" s="1"/>
  <c r="G527" i="1" a="1"/>
  <c r="G527" i="1" s="1"/>
  <c r="G528" i="1" a="1"/>
  <c r="G528" i="1" s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 s="1"/>
  <c r="G538" i="1" a="1"/>
  <c r="G538" i="1" s="1"/>
  <c r="G539" i="1" a="1"/>
  <c r="G539" i="1" s="1"/>
  <c r="G540" i="1" a="1"/>
  <c r="G540" i="1" s="1"/>
  <c r="G541" i="1" a="1"/>
  <c r="G541" i="1" s="1"/>
  <c r="G542" i="1" a="1"/>
  <c r="G542" i="1" s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 s="1"/>
  <c r="G549" i="1" a="1"/>
  <c r="G549" i="1" s="1"/>
  <c r="G550" i="1" a="1"/>
  <c r="G550" i="1" s="1"/>
  <c r="G551" i="1" a="1"/>
  <c r="G551" i="1" s="1"/>
  <c r="G552" i="1" a="1"/>
  <c r="G552" i="1" s="1"/>
  <c r="G553" i="1" a="1"/>
  <c r="G553" i="1" s="1"/>
  <c r="G554" i="1" a="1"/>
  <c r="G554" i="1" s="1"/>
  <c r="G555" i="1" a="1"/>
  <c r="G555" i="1" s="1"/>
  <c r="G556" i="1" a="1"/>
  <c r="G556" i="1" s="1"/>
  <c r="G557" i="1" a="1"/>
  <c r="G557" i="1" s="1"/>
  <c r="G558" i="1" a="1"/>
  <c r="G558" i="1" s="1"/>
  <c r="G559" i="1" a="1"/>
  <c r="G559" i="1" s="1"/>
  <c r="G560" i="1" a="1"/>
  <c r="G560" i="1" s="1"/>
  <c r="G561" i="1" a="1"/>
  <c r="G561" i="1" s="1"/>
  <c r="G562" i="1" a="1"/>
  <c r="G562" i="1" s="1"/>
  <c r="G563" i="1" a="1"/>
  <c r="G563" i="1" s="1"/>
  <c r="G564" i="1" a="1"/>
  <c r="G564" i="1" s="1"/>
  <c r="G565" i="1" a="1"/>
  <c r="G565" i="1" s="1"/>
  <c r="G566" i="1" a="1"/>
  <c r="G566" i="1" s="1"/>
  <c r="G567" i="1" a="1"/>
  <c r="G567" i="1" s="1"/>
  <c r="G568" i="1" a="1"/>
  <c r="G568" i="1" s="1"/>
  <c r="G569" i="1" a="1"/>
  <c r="G569" i="1" s="1"/>
  <c r="G570" i="1" a="1"/>
  <c r="G570" i="1" s="1"/>
  <c r="G571" i="1" a="1"/>
  <c r="G571" i="1" s="1"/>
  <c r="G572" i="1" a="1"/>
  <c r="G572" i="1" s="1"/>
  <c r="G573" i="1" a="1"/>
  <c r="G573" i="1" s="1"/>
  <c r="G574" i="1" a="1"/>
  <c r="G574" i="1" s="1"/>
  <c r="G575" i="1" a="1"/>
  <c r="G575" i="1" s="1"/>
  <c r="G576" i="1" a="1"/>
  <c r="G576" i="1" s="1"/>
  <c r="G577" i="1" a="1"/>
  <c r="G577" i="1" s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 s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3" i="1" a="1"/>
  <c r="G593" i="1" s="1"/>
  <c r="G594" i="1" a="1"/>
  <c r="G594" i="1" s="1"/>
  <c r="G595" i="1" a="1"/>
  <c r="G595" i="1" s="1"/>
  <c r="G596" i="1" a="1"/>
  <c r="G596" i="1" s="1"/>
  <c r="G597" i="1" a="1"/>
  <c r="G597" i="1" s="1"/>
  <c r="G598" i="1" a="1"/>
  <c r="G598" i="1" s="1"/>
  <c r="G599" i="1" a="1"/>
  <c r="G599" i="1" s="1"/>
  <c r="G600" i="1" a="1"/>
  <c r="G600" i="1" s="1"/>
  <c r="G601" i="1" a="1"/>
  <c r="G601" i="1" s="1"/>
  <c r="G602" i="1" a="1"/>
  <c r="G602" i="1" s="1"/>
  <c r="G603" i="1" a="1"/>
  <c r="G603" i="1" s="1"/>
  <c r="G604" i="1" a="1"/>
  <c r="G604" i="1" s="1"/>
  <c r="G605" i="1" a="1"/>
  <c r="G605" i="1" s="1"/>
  <c r="G606" i="1" a="1"/>
  <c r="G606" i="1" s="1"/>
  <c r="G607" i="1" a="1"/>
  <c r="G607" i="1" s="1"/>
  <c r="G608" i="1" a="1"/>
  <c r="G608" i="1" s="1"/>
  <c r="G609" i="1" a="1"/>
  <c r="G609" i="1" s="1"/>
  <c r="G610" i="1" a="1"/>
  <c r="G610" i="1" s="1"/>
  <c r="G611" i="1" a="1"/>
  <c r="G611" i="1" s="1"/>
  <c r="G612" i="1" a="1"/>
  <c r="G612" i="1" s="1"/>
  <c r="G613" i="1" a="1"/>
  <c r="G613" i="1" s="1"/>
  <c r="G614" i="1" a="1"/>
  <c r="G614" i="1" s="1"/>
  <c r="G615" i="1" a="1"/>
  <c r="G615" i="1" s="1"/>
  <c r="G616" i="1" a="1"/>
  <c r="G616" i="1" s="1"/>
  <c r="G617" i="1" a="1"/>
  <c r="G617" i="1" s="1"/>
  <c r="G618" i="1" a="1"/>
  <c r="G618" i="1" s="1"/>
  <c r="G619" i="1" a="1"/>
  <c r="G619" i="1" s="1"/>
  <c r="G620" i="1" a="1"/>
  <c r="G620" i="1" s="1"/>
  <c r="G621" i="1" a="1"/>
  <c r="G621" i="1" s="1"/>
  <c r="G622" i="1" a="1"/>
  <c r="G622" i="1" s="1"/>
  <c r="G623" i="1" a="1"/>
  <c r="G623" i="1" s="1"/>
  <c r="G624" i="1" a="1"/>
  <c r="G624" i="1" s="1"/>
  <c r="G625" i="1" a="1"/>
  <c r="G625" i="1" s="1"/>
  <c r="G626" i="1" a="1"/>
  <c r="G626" i="1" s="1"/>
  <c r="G627" i="1" a="1"/>
  <c r="G627" i="1" s="1"/>
  <c r="G628" i="1" a="1"/>
  <c r="G628" i="1" s="1"/>
  <c r="G629" i="1" a="1"/>
  <c r="G629" i="1" s="1"/>
  <c r="G630" i="1" a="1"/>
  <c r="G630" i="1" s="1"/>
  <c r="G631" i="1" a="1"/>
  <c r="G631" i="1" s="1"/>
  <c r="G632" i="1" a="1"/>
  <c r="G632" i="1" s="1"/>
  <c r="G633" i="1" a="1"/>
  <c r="G633" i="1" s="1"/>
  <c r="G634" i="1" a="1"/>
  <c r="G634" i="1" s="1"/>
  <c r="G635" i="1" a="1"/>
  <c r="G635" i="1" s="1"/>
  <c r="G636" i="1" a="1"/>
  <c r="G636" i="1" s="1"/>
  <c r="G637" i="1" a="1"/>
  <c r="G637" i="1" s="1"/>
  <c r="G638" i="1" a="1"/>
  <c r="G638" i="1" s="1"/>
  <c r="G639" i="1" a="1"/>
  <c r="G639" i="1" s="1"/>
  <c r="G640" i="1" a="1"/>
  <c r="G640" i="1" s="1"/>
  <c r="G641" i="1" a="1"/>
  <c r="G641" i="1" s="1"/>
  <c r="G642" i="1" a="1"/>
  <c r="G642" i="1" s="1"/>
  <c r="G643" i="1" a="1"/>
  <c r="G643" i="1" s="1"/>
  <c r="G644" i="1" a="1"/>
  <c r="G644" i="1" s="1"/>
  <c r="G645" i="1" a="1"/>
  <c r="G645" i="1" s="1"/>
  <c r="G646" i="1" a="1"/>
  <c r="G646" i="1" s="1"/>
  <c r="G647" i="1" a="1"/>
  <c r="G647" i="1" s="1"/>
  <c r="G648" i="1" a="1"/>
  <c r="G648" i="1" s="1"/>
  <c r="G649" i="1" a="1"/>
  <c r="G649" i="1" s="1"/>
  <c r="G650" i="1" a="1"/>
  <c r="G650" i="1" s="1"/>
  <c r="G651" i="1" a="1"/>
  <c r="G651" i="1" s="1"/>
  <c r="G652" i="1" a="1"/>
  <c r="G652" i="1" s="1"/>
  <c r="G653" i="1" a="1"/>
  <c r="G653" i="1" s="1"/>
  <c r="G654" i="1" a="1"/>
  <c r="G654" i="1" s="1"/>
  <c r="G655" i="1" a="1"/>
  <c r="G655" i="1" s="1"/>
  <c r="G656" i="1" a="1"/>
  <c r="G656" i="1" s="1"/>
  <c r="G657" i="1" a="1"/>
  <c r="G657" i="1" s="1"/>
  <c r="G658" i="1" a="1"/>
  <c r="G658" i="1" s="1"/>
  <c r="G659" i="1" a="1"/>
  <c r="G659" i="1" s="1"/>
  <c r="G660" i="1" a="1"/>
  <c r="G660" i="1" s="1"/>
  <c r="G661" i="1" a="1"/>
  <c r="G661" i="1" s="1"/>
  <c r="G662" i="1" a="1"/>
  <c r="G662" i="1" s="1"/>
  <c r="G663" i="1" a="1"/>
  <c r="G663" i="1" s="1"/>
  <c r="G664" i="1" a="1"/>
  <c r="G664" i="1" s="1"/>
  <c r="G665" i="1" a="1"/>
  <c r="G665" i="1" s="1"/>
  <c r="H334" i="1" a="1"/>
  <c r="H334" i="1" s="1"/>
  <c r="H335" i="1" a="1"/>
  <c r="H335" i="1" s="1"/>
  <c r="H336" i="1" a="1"/>
  <c r="H336" i="1" s="1"/>
  <c r="H337" i="1" a="1"/>
  <c r="H337" i="1" s="1"/>
  <c r="H338" i="1" a="1"/>
  <c r="H338" i="1" s="1"/>
  <c r="H339" i="1" a="1"/>
  <c r="H339" i="1" s="1"/>
  <c r="H340" i="1" a="1"/>
  <c r="H340" i="1" s="1"/>
  <c r="H341" i="1" a="1"/>
  <c r="H341" i="1" s="1"/>
  <c r="H342" i="1" a="1"/>
  <c r="H342" i="1" s="1"/>
  <c r="H343" i="1" a="1"/>
  <c r="H343" i="1" s="1"/>
  <c r="H344" i="1" a="1"/>
  <c r="H344" i="1" s="1"/>
  <c r="H345" i="1" a="1"/>
  <c r="H345" i="1" s="1"/>
  <c r="H346" i="1" a="1"/>
  <c r="H346" i="1" s="1"/>
  <c r="H347" i="1" a="1"/>
  <c r="H347" i="1" s="1"/>
  <c r="H348" i="1" a="1"/>
  <c r="H348" i="1" s="1"/>
  <c r="H349" i="1" a="1"/>
  <c r="H349" i="1" s="1"/>
  <c r="H350" i="1" a="1"/>
  <c r="H350" i="1" s="1"/>
  <c r="H351" i="1" a="1"/>
  <c r="H351" i="1" s="1"/>
  <c r="H352" i="1" a="1"/>
  <c r="H352" i="1" s="1"/>
  <c r="H353" i="1" a="1"/>
  <c r="H353" i="1" s="1"/>
  <c r="H354" i="1" a="1"/>
  <c r="H354" i="1" s="1"/>
  <c r="H355" i="1" a="1"/>
  <c r="H355" i="1" s="1"/>
  <c r="H356" i="1" a="1"/>
  <c r="H356" i="1" s="1"/>
  <c r="H357" i="1" a="1"/>
  <c r="H357" i="1" s="1"/>
  <c r="H358" i="1" a="1"/>
  <c r="H358" i="1" s="1"/>
  <c r="H359" i="1" a="1"/>
  <c r="H359" i="1" s="1"/>
  <c r="H360" i="1" a="1"/>
  <c r="H360" i="1" s="1"/>
  <c r="H361" i="1" a="1"/>
  <c r="H361" i="1" s="1"/>
  <c r="H362" i="1" a="1"/>
  <c r="H362" i="1" s="1"/>
  <c r="H363" i="1" a="1"/>
  <c r="H363" i="1" s="1"/>
  <c r="H364" i="1" a="1"/>
  <c r="H364" i="1" s="1"/>
  <c r="H365" i="1" a="1"/>
  <c r="H365" i="1" s="1"/>
  <c r="H366" i="1" a="1"/>
  <c r="H366" i="1" s="1"/>
  <c r="H367" i="1" a="1"/>
  <c r="H367" i="1" s="1"/>
  <c r="H368" i="1" a="1"/>
  <c r="H368" i="1" s="1"/>
  <c r="H369" i="1" a="1"/>
  <c r="H369" i="1" s="1"/>
  <c r="H370" i="1" a="1"/>
  <c r="H370" i="1" s="1"/>
  <c r="H371" i="1" a="1"/>
  <c r="H371" i="1" s="1"/>
  <c r="H372" i="1" a="1"/>
  <c r="H372" i="1" s="1"/>
  <c r="H373" i="1" a="1"/>
  <c r="H373" i="1" s="1"/>
  <c r="H374" i="1" a="1"/>
  <c r="H374" i="1" s="1"/>
  <c r="H375" i="1" a="1"/>
  <c r="H375" i="1" s="1"/>
  <c r="H376" i="1" a="1"/>
  <c r="H376" i="1" s="1"/>
  <c r="H377" i="1" a="1"/>
  <c r="H377" i="1" s="1"/>
  <c r="H378" i="1" a="1"/>
  <c r="H378" i="1" s="1"/>
  <c r="H379" i="1" a="1"/>
  <c r="H379" i="1" s="1"/>
  <c r="H380" i="1" a="1"/>
  <c r="H380" i="1" s="1"/>
  <c r="H381" i="1" a="1"/>
  <c r="H381" i="1" s="1"/>
  <c r="H382" i="1" a="1"/>
  <c r="H382" i="1" s="1"/>
  <c r="H383" i="1" a="1"/>
  <c r="H383" i="1" s="1"/>
  <c r="H384" i="1" a="1"/>
  <c r="H384" i="1" s="1"/>
  <c r="H385" i="1" a="1"/>
  <c r="H385" i="1" s="1"/>
  <c r="H386" i="1" a="1"/>
  <c r="H386" i="1" s="1"/>
  <c r="H387" i="1" a="1"/>
  <c r="H387" i="1" s="1"/>
  <c r="H388" i="1" a="1"/>
  <c r="H388" i="1" s="1"/>
  <c r="H389" i="1" a="1"/>
  <c r="H389" i="1" s="1"/>
  <c r="H390" i="1" a="1"/>
  <c r="H390" i="1" s="1"/>
  <c r="H391" i="1" a="1"/>
  <c r="H391" i="1" s="1"/>
  <c r="H392" i="1" a="1"/>
  <c r="H392" i="1" s="1"/>
  <c r="H393" i="1" a="1"/>
  <c r="H393" i="1" s="1"/>
  <c r="H394" i="1" a="1"/>
  <c r="H394" i="1" s="1"/>
  <c r="H395" i="1" a="1"/>
  <c r="H395" i="1" s="1"/>
  <c r="H396" i="1" a="1"/>
  <c r="H396" i="1" s="1"/>
  <c r="H397" i="1" a="1"/>
  <c r="H397" i="1" s="1"/>
  <c r="H398" i="1" a="1"/>
  <c r="H398" i="1" s="1"/>
  <c r="H399" i="1" a="1"/>
  <c r="H399" i="1" s="1"/>
  <c r="H400" i="1" a="1"/>
  <c r="H400" i="1" s="1"/>
  <c r="H401" i="1" a="1"/>
  <c r="H401" i="1" s="1"/>
  <c r="H402" i="1" a="1"/>
  <c r="H402" i="1" s="1"/>
  <c r="H403" i="1" a="1"/>
  <c r="H403" i="1" s="1"/>
  <c r="H404" i="1" a="1"/>
  <c r="H404" i="1" s="1"/>
  <c r="H405" i="1" a="1"/>
  <c r="H405" i="1" s="1"/>
  <c r="H406" i="1" a="1"/>
  <c r="H406" i="1" s="1"/>
  <c r="H407" i="1" a="1"/>
  <c r="H407" i="1" s="1"/>
  <c r="H408" i="1" a="1"/>
  <c r="H408" i="1" s="1"/>
  <c r="H409" i="1" a="1"/>
  <c r="H409" i="1" s="1"/>
  <c r="H410" i="1" a="1"/>
  <c r="H410" i="1" s="1"/>
  <c r="H411" i="1" a="1"/>
  <c r="H411" i="1" s="1"/>
  <c r="H412" i="1" a="1"/>
  <c r="H412" i="1" s="1"/>
  <c r="H413" i="1" a="1"/>
  <c r="H413" i="1" s="1"/>
  <c r="H414" i="1" a="1"/>
  <c r="H414" i="1" s="1"/>
  <c r="H415" i="1" a="1"/>
  <c r="H415" i="1" s="1"/>
  <c r="H416" i="1" a="1"/>
  <c r="H416" i="1" s="1"/>
  <c r="H417" i="1" a="1"/>
  <c r="H417" i="1" s="1"/>
  <c r="H418" i="1" a="1"/>
  <c r="H418" i="1" s="1"/>
  <c r="H419" i="1" a="1"/>
  <c r="H419" i="1" s="1"/>
  <c r="H420" i="1" a="1"/>
  <c r="H420" i="1" s="1"/>
  <c r="H421" i="1" a="1"/>
  <c r="H421" i="1" s="1"/>
  <c r="H422" i="1" a="1"/>
  <c r="H422" i="1" s="1"/>
  <c r="H423" i="1" a="1"/>
  <c r="H423" i="1" s="1"/>
  <c r="H424" i="1" a="1"/>
  <c r="H424" i="1" s="1"/>
  <c r="H425" i="1" a="1"/>
  <c r="H425" i="1" s="1"/>
  <c r="H426" i="1" a="1"/>
  <c r="H426" i="1" s="1"/>
  <c r="H427" i="1" a="1"/>
  <c r="H427" i="1" s="1"/>
  <c r="H428" i="1" a="1"/>
  <c r="H428" i="1" s="1"/>
  <c r="H429" i="1" a="1"/>
  <c r="H429" i="1" s="1"/>
  <c r="H430" i="1" a="1"/>
  <c r="H430" i="1" s="1"/>
  <c r="H431" i="1" a="1"/>
  <c r="H431" i="1" s="1"/>
  <c r="H432" i="1" a="1"/>
  <c r="H432" i="1" s="1"/>
  <c r="H433" i="1" a="1"/>
  <c r="H433" i="1" s="1"/>
  <c r="H434" i="1" a="1"/>
  <c r="H434" i="1" s="1"/>
  <c r="H435" i="1" a="1"/>
  <c r="H435" i="1" s="1"/>
  <c r="H436" i="1" a="1"/>
  <c r="H436" i="1" s="1"/>
  <c r="H437" i="1" a="1"/>
  <c r="H437" i="1" s="1"/>
  <c r="H438" i="1" a="1"/>
  <c r="H438" i="1" s="1"/>
  <c r="H439" i="1" a="1"/>
  <c r="H439" i="1" s="1"/>
  <c r="H440" i="1" a="1"/>
  <c r="H440" i="1" s="1"/>
  <c r="H441" i="1" a="1"/>
  <c r="H441" i="1" s="1"/>
  <c r="H442" i="1" a="1"/>
  <c r="H442" i="1" s="1"/>
  <c r="H443" i="1" a="1"/>
  <c r="H443" i="1" s="1"/>
  <c r="H444" i="1" a="1"/>
  <c r="H444" i="1" s="1"/>
  <c r="H445" i="1" a="1"/>
  <c r="H445" i="1" s="1"/>
  <c r="H446" i="1" a="1"/>
  <c r="H446" i="1" s="1"/>
  <c r="H447" i="1" a="1"/>
  <c r="H447" i="1" s="1"/>
  <c r="H448" i="1" a="1"/>
  <c r="H448" i="1" s="1"/>
  <c r="H449" i="1" a="1"/>
  <c r="H449" i="1" s="1"/>
  <c r="H450" i="1" a="1"/>
  <c r="H450" i="1" s="1"/>
  <c r="H451" i="1" a="1"/>
  <c r="H451" i="1" s="1"/>
  <c r="H452" i="1" a="1"/>
  <c r="H452" i="1" s="1"/>
  <c r="H453" i="1" a="1"/>
  <c r="H453" i="1" s="1"/>
  <c r="H454" i="1" a="1"/>
  <c r="H454" i="1" s="1"/>
  <c r="H455" i="1" a="1"/>
  <c r="H455" i="1" s="1"/>
  <c r="H456" i="1" a="1"/>
  <c r="H456" i="1" s="1"/>
  <c r="H457" i="1" a="1"/>
  <c r="H457" i="1" s="1"/>
  <c r="H458" i="1" a="1"/>
  <c r="H458" i="1" s="1"/>
  <c r="H459" i="1" a="1"/>
  <c r="H459" i="1" s="1"/>
  <c r="H460" i="1" a="1"/>
  <c r="H460" i="1" s="1"/>
  <c r="H461" i="1" a="1"/>
  <c r="H461" i="1" s="1"/>
  <c r="H462" i="1" a="1"/>
  <c r="H462" i="1" s="1"/>
  <c r="H463" i="1" a="1"/>
  <c r="H463" i="1" s="1"/>
  <c r="H464" i="1" a="1"/>
  <c r="H464" i="1" s="1"/>
  <c r="H465" i="1" a="1"/>
  <c r="H465" i="1" s="1"/>
  <c r="H466" i="1" a="1"/>
  <c r="H466" i="1" s="1"/>
  <c r="H467" i="1" a="1"/>
  <c r="H467" i="1" s="1"/>
  <c r="H468" i="1" a="1"/>
  <c r="H468" i="1" s="1"/>
  <c r="H469" i="1" a="1"/>
  <c r="H469" i="1" s="1"/>
  <c r="H470" i="1" a="1"/>
  <c r="H470" i="1" s="1"/>
  <c r="H471" i="1" a="1"/>
  <c r="H471" i="1" s="1"/>
  <c r="H472" i="1" a="1"/>
  <c r="H472" i="1" s="1"/>
  <c r="H473" i="1" a="1"/>
  <c r="H473" i="1" s="1"/>
  <c r="H474" i="1" a="1"/>
  <c r="H474" i="1" s="1"/>
  <c r="H475" i="1" a="1"/>
  <c r="H475" i="1" s="1"/>
  <c r="H476" i="1" a="1"/>
  <c r="H476" i="1" s="1"/>
  <c r="H477" i="1" a="1"/>
  <c r="H477" i="1" s="1"/>
  <c r="H478" i="1" a="1"/>
  <c r="H478" i="1" s="1"/>
  <c r="H479" i="1" a="1"/>
  <c r="H479" i="1" s="1"/>
  <c r="H480" i="1" a="1"/>
  <c r="H480" i="1" s="1"/>
  <c r="H481" i="1" a="1"/>
  <c r="H481" i="1" s="1"/>
  <c r="H482" i="1" a="1"/>
  <c r="H482" i="1" s="1"/>
  <c r="H483" i="1" a="1"/>
  <c r="H483" i="1" s="1"/>
  <c r="H484" i="1" a="1"/>
  <c r="H484" i="1" s="1"/>
  <c r="H485" i="1" a="1"/>
  <c r="H485" i="1" s="1"/>
  <c r="H486" i="1" a="1"/>
  <c r="H486" i="1" s="1"/>
  <c r="H487" i="1" a="1"/>
  <c r="H487" i="1" s="1"/>
  <c r="H488" i="1" a="1"/>
  <c r="H488" i="1" s="1"/>
  <c r="H489" i="1" a="1"/>
  <c r="H489" i="1" s="1"/>
  <c r="H490" i="1" a="1"/>
  <c r="H490" i="1" s="1"/>
  <c r="H491" i="1" a="1"/>
  <c r="H491" i="1" s="1"/>
  <c r="H492" i="1" a="1"/>
  <c r="H492" i="1" s="1"/>
  <c r="H493" i="1" a="1"/>
  <c r="H493" i="1" s="1"/>
  <c r="H494" i="1" a="1"/>
  <c r="H494" i="1" s="1"/>
  <c r="H495" i="1" a="1"/>
  <c r="H495" i="1" s="1"/>
  <c r="H496" i="1" a="1"/>
  <c r="H496" i="1" s="1"/>
  <c r="H497" i="1" a="1"/>
  <c r="H497" i="1" s="1"/>
  <c r="H498" i="1" a="1"/>
  <c r="H498" i="1" s="1"/>
  <c r="H499" i="1" a="1"/>
  <c r="H499" i="1" s="1"/>
  <c r="H500" i="1" a="1"/>
  <c r="H500" i="1" s="1"/>
  <c r="H501" i="1" a="1"/>
  <c r="H501" i="1" s="1"/>
  <c r="H502" i="1" a="1"/>
  <c r="H502" i="1" s="1"/>
  <c r="H503" i="1" a="1"/>
  <c r="H503" i="1" s="1"/>
  <c r="H504" i="1" a="1"/>
  <c r="H504" i="1" s="1"/>
  <c r="H505" i="1" a="1"/>
  <c r="H505" i="1" s="1"/>
  <c r="H506" i="1" a="1"/>
  <c r="H506" i="1" s="1"/>
  <c r="H507" i="1" a="1"/>
  <c r="H507" i="1" s="1"/>
  <c r="H508" i="1" a="1"/>
  <c r="H508" i="1" s="1"/>
  <c r="H509" i="1" a="1"/>
  <c r="H509" i="1" s="1"/>
  <c r="H510" i="1" a="1"/>
  <c r="H510" i="1" s="1"/>
  <c r="H511" i="1" a="1"/>
  <c r="H511" i="1" s="1"/>
  <c r="H512" i="1" a="1"/>
  <c r="H512" i="1" s="1"/>
  <c r="H513" i="1" a="1"/>
  <c r="H513" i="1" s="1"/>
  <c r="H514" i="1" a="1"/>
  <c r="H514" i="1" s="1"/>
  <c r="H515" i="1" a="1"/>
  <c r="H515" i="1" s="1"/>
  <c r="H516" i="1" a="1"/>
  <c r="H516" i="1" s="1"/>
  <c r="H517" i="1" a="1"/>
  <c r="H517" i="1" s="1"/>
  <c r="H518" i="1" a="1"/>
  <c r="H518" i="1" s="1"/>
  <c r="H519" i="1" a="1"/>
  <c r="H519" i="1" s="1"/>
  <c r="H520" i="1" a="1"/>
  <c r="H520" i="1" s="1"/>
  <c r="H521" i="1" a="1"/>
  <c r="H521" i="1" s="1"/>
  <c r="H522" i="1" a="1"/>
  <c r="H522" i="1" s="1"/>
  <c r="H523" i="1" a="1"/>
  <c r="H523" i="1" s="1"/>
  <c r="H524" i="1" a="1"/>
  <c r="H524" i="1" s="1"/>
  <c r="H525" i="1" a="1"/>
  <c r="H525" i="1" s="1"/>
  <c r="H526" i="1" a="1"/>
  <c r="H526" i="1" s="1"/>
  <c r="H527" i="1" a="1"/>
  <c r="H527" i="1" s="1"/>
  <c r="H528" i="1" a="1"/>
  <c r="H528" i="1" s="1"/>
  <c r="H529" i="1" a="1"/>
  <c r="H529" i="1" s="1"/>
  <c r="H530" i="1" a="1"/>
  <c r="H530" i="1" s="1"/>
  <c r="H531" i="1" a="1"/>
  <c r="H531" i="1" s="1"/>
  <c r="H532" i="1" a="1"/>
  <c r="H532" i="1" s="1"/>
  <c r="H533" i="1" a="1"/>
  <c r="H533" i="1" s="1"/>
  <c r="H534" i="1" a="1"/>
  <c r="H534" i="1" s="1"/>
  <c r="H535" i="1" a="1"/>
  <c r="H535" i="1" s="1"/>
  <c r="H536" i="1" a="1"/>
  <c r="H536" i="1" s="1"/>
  <c r="H537" i="1" a="1"/>
  <c r="H537" i="1" s="1"/>
  <c r="H538" i="1" a="1"/>
  <c r="H538" i="1" s="1"/>
  <c r="H539" i="1" a="1"/>
  <c r="H539" i="1" s="1"/>
  <c r="H540" i="1" a="1"/>
  <c r="H540" i="1" s="1"/>
  <c r="H541" i="1" a="1"/>
  <c r="H541" i="1" s="1"/>
  <c r="H542" i="1" a="1"/>
  <c r="H542" i="1" s="1"/>
  <c r="H543" i="1" a="1"/>
  <c r="H543" i="1" s="1"/>
  <c r="H544" i="1" a="1"/>
  <c r="H544" i="1" s="1"/>
  <c r="H545" i="1" a="1"/>
  <c r="H545" i="1" s="1"/>
  <c r="H546" i="1" a="1"/>
  <c r="H546" i="1" s="1"/>
  <c r="H547" i="1" a="1"/>
  <c r="H547" i="1" s="1"/>
  <c r="H548" i="1" a="1"/>
  <c r="H548" i="1" s="1"/>
  <c r="H549" i="1" a="1"/>
  <c r="H549" i="1" s="1"/>
  <c r="H550" i="1" a="1"/>
  <c r="H550" i="1" s="1"/>
  <c r="H551" i="1" a="1"/>
  <c r="H551" i="1" s="1"/>
  <c r="H552" i="1" a="1"/>
  <c r="H552" i="1" s="1"/>
  <c r="H553" i="1" a="1"/>
  <c r="H553" i="1" s="1"/>
  <c r="H554" i="1" a="1"/>
  <c r="H554" i="1" s="1"/>
  <c r="H555" i="1" a="1"/>
  <c r="H555" i="1" s="1"/>
  <c r="H556" i="1" a="1"/>
  <c r="H556" i="1" s="1"/>
  <c r="H557" i="1" a="1"/>
  <c r="H557" i="1" s="1"/>
  <c r="H558" i="1" a="1"/>
  <c r="H558" i="1" s="1"/>
  <c r="H559" i="1" a="1"/>
  <c r="H559" i="1" s="1"/>
  <c r="H560" i="1" a="1"/>
  <c r="H560" i="1" s="1"/>
  <c r="H561" i="1" a="1"/>
  <c r="H561" i="1" s="1"/>
  <c r="H562" i="1" a="1"/>
  <c r="H562" i="1" s="1"/>
  <c r="H563" i="1" a="1"/>
  <c r="H563" i="1" s="1"/>
  <c r="H564" i="1" a="1"/>
  <c r="H564" i="1" s="1"/>
  <c r="H565" i="1" a="1"/>
  <c r="H565" i="1" s="1"/>
  <c r="H566" i="1" a="1"/>
  <c r="H566" i="1" s="1"/>
  <c r="H567" i="1" a="1"/>
  <c r="H567" i="1" s="1"/>
  <c r="H568" i="1" a="1"/>
  <c r="H568" i="1" s="1"/>
  <c r="H569" i="1" a="1"/>
  <c r="H569" i="1" s="1"/>
  <c r="H570" i="1" a="1"/>
  <c r="H570" i="1" s="1"/>
  <c r="H571" i="1" a="1"/>
  <c r="H571" i="1" s="1"/>
  <c r="H572" i="1" a="1"/>
  <c r="H572" i="1" s="1"/>
  <c r="H573" i="1" a="1"/>
  <c r="H573" i="1" s="1"/>
  <c r="H574" i="1" a="1"/>
  <c r="H574" i="1" s="1"/>
  <c r="H575" i="1" a="1"/>
  <c r="H575" i="1" s="1"/>
  <c r="H576" i="1" a="1"/>
  <c r="H576" i="1" s="1"/>
  <c r="H577" i="1" a="1"/>
  <c r="H577" i="1" s="1"/>
  <c r="H578" i="1" a="1"/>
  <c r="H578" i="1" s="1"/>
  <c r="H579" i="1" a="1"/>
  <c r="H579" i="1" s="1"/>
  <c r="H580" i="1" a="1"/>
  <c r="H580" i="1" s="1"/>
  <c r="H581" i="1" a="1"/>
  <c r="H581" i="1" s="1"/>
  <c r="H582" i="1" a="1"/>
  <c r="H582" i="1" s="1"/>
  <c r="H583" i="1" a="1"/>
  <c r="H583" i="1" s="1"/>
  <c r="H584" i="1" a="1"/>
  <c r="H584" i="1" s="1"/>
  <c r="H585" i="1" a="1"/>
  <c r="H585" i="1" s="1"/>
  <c r="H586" i="1" a="1"/>
  <c r="H586" i="1" s="1"/>
  <c r="H587" i="1" a="1"/>
  <c r="H587" i="1" s="1"/>
  <c r="H588" i="1" a="1"/>
  <c r="H588" i="1" s="1"/>
  <c r="H589" i="1" a="1"/>
  <c r="H589" i="1" s="1"/>
  <c r="H590" i="1" a="1"/>
  <c r="H590" i="1" s="1"/>
  <c r="H591" i="1" a="1"/>
  <c r="H591" i="1" s="1"/>
  <c r="H592" i="1" a="1"/>
  <c r="H592" i="1" s="1"/>
  <c r="H593" i="1" a="1"/>
  <c r="H593" i="1" s="1"/>
  <c r="H594" i="1" a="1"/>
  <c r="H594" i="1" s="1"/>
  <c r="H595" i="1" a="1"/>
  <c r="H595" i="1" s="1"/>
  <c r="H596" i="1" a="1"/>
  <c r="H596" i="1" s="1"/>
  <c r="H597" i="1" a="1"/>
  <c r="H597" i="1" s="1"/>
  <c r="H598" i="1" a="1"/>
  <c r="H598" i="1" s="1"/>
  <c r="H599" i="1" a="1"/>
  <c r="H599" i="1" s="1"/>
  <c r="H600" i="1" a="1"/>
  <c r="H600" i="1" s="1"/>
  <c r="H601" i="1" a="1"/>
  <c r="H601" i="1" s="1"/>
  <c r="H602" i="1" a="1"/>
  <c r="H602" i="1" s="1"/>
  <c r="H603" i="1" a="1"/>
  <c r="H603" i="1" s="1"/>
  <c r="H604" i="1" a="1"/>
  <c r="H604" i="1" s="1"/>
  <c r="H605" i="1" a="1"/>
  <c r="H605" i="1" s="1"/>
  <c r="H606" i="1" a="1"/>
  <c r="H606" i="1" s="1"/>
  <c r="H607" i="1" a="1"/>
  <c r="H607" i="1" s="1"/>
  <c r="H608" i="1" a="1"/>
  <c r="H608" i="1" s="1"/>
  <c r="H609" i="1" a="1"/>
  <c r="H609" i="1" s="1"/>
  <c r="H610" i="1" a="1"/>
  <c r="H610" i="1" s="1"/>
  <c r="H611" i="1" a="1"/>
  <c r="H611" i="1" s="1"/>
  <c r="H612" i="1" a="1"/>
  <c r="H612" i="1" s="1"/>
  <c r="H613" i="1" a="1"/>
  <c r="H613" i="1" s="1"/>
  <c r="H614" i="1" a="1"/>
  <c r="H614" i="1" s="1"/>
  <c r="H615" i="1" a="1"/>
  <c r="H615" i="1" s="1"/>
  <c r="H616" i="1" a="1"/>
  <c r="H616" i="1" s="1"/>
  <c r="H617" i="1" a="1"/>
  <c r="H617" i="1" s="1"/>
  <c r="H618" i="1" a="1"/>
  <c r="H618" i="1" s="1"/>
  <c r="H619" i="1" a="1"/>
  <c r="H619" i="1" s="1"/>
  <c r="H620" i="1" a="1"/>
  <c r="H620" i="1" s="1"/>
  <c r="H621" i="1" a="1"/>
  <c r="H621" i="1" s="1"/>
  <c r="H622" i="1" a="1"/>
  <c r="H622" i="1" s="1"/>
  <c r="H623" i="1" a="1"/>
  <c r="H623" i="1" s="1"/>
  <c r="H624" i="1" a="1"/>
  <c r="H624" i="1" s="1"/>
  <c r="H625" i="1" a="1"/>
  <c r="H625" i="1" s="1"/>
  <c r="H626" i="1" a="1"/>
  <c r="H626" i="1" s="1"/>
  <c r="H627" i="1" a="1"/>
  <c r="H627" i="1" s="1"/>
  <c r="H628" i="1" a="1"/>
  <c r="H628" i="1" s="1"/>
  <c r="H629" i="1" a="1"/>
  <c r="H629" i="1" s="1"/>
  <c r="H630" i="1" a="1"/>
  <c r="H630" i="1" s="1"/>
  <c r="H631" i="1" a="1"/>
  <c r="H631" i="1" s="1"/>
  <c r="H632" i="1" a="1"/>
  <c r="H632" i="1" s="1"/>
  <c r="H633" i="1" a="1"/>
  <c r="H633" i="1" s="1"/>
  <c r="H634" i="1" a="1"/>
  <c r="H634" i="1" s="1"/>
  <c r="H635" i="1" a="1"/>
  <c r="H635" i="1" s="1"/>
  <c r="H636" i="1" a="1"/>
  <c r="H636" i="1" s="1"/>
  <c r="H637" i="1" a="1"/>
  <c r="H637" i="1" s="1"/>
  <c r="H638" i="1" a="1"/>
  <c r="H638" i="1" s="1"/>
  <c r="H639" i="1" a="1"/>
  <c r="H639" i="1" s="1"/>
  <c r="H640" i="1" a="1"/>
  <c r="H640" i="1" s="1"/>
  <c r="H641" i="1" a="1"/>
  <c r="H641" i="1" s="1"/>
  <c r="H642" i="1" a="1"/>
  <c r="H642" i="1" s="1"/>
  <c r="H643" i="1" a="1"/>
  <c r="H643" i="1" s="1"/>
  <c r="H644" i="1" a="1"/>
  <c r="H644" i="1" s="1"/>
  <c r="H645" i="1" a="1"/>
  <c r="H645" i="1" s="1"/>
  <c r="H646" i="1" a="1"/>
  <c r="H646" i="1" s="1"/>
  <c r="H647" i="1" a="1"/>
  <c r="H647" i="1" s="1"/>
  <c r="H648" i="1" a="1"/>
  <c r="H648" i="1" s="1"/>
  <c r="H649" i="1" a="1"/>
  <c r="H649" i="1" s="1"/>
  <c r="H650" i="1" a="1"/>
  <c r="H650" i="1" s="1"/>
  <c r="H651" i="1" a="1"/>
  <c r="H651" i="1" s="1"/>
  <c r="H652" i="1" a="1"/>
  <c r="H652" i="1" s="1"/>
  <c r="H653" i="1" a="1"/>
  <c r="H653" i="1" s="1"/>
  <c r="H654" i="1" a="1"/>
  <c r="H654" i="1" s="1"/>
  <c r="H655" i="1" a="1"/>
  <c r="H655" i="1" s="1"/>
  <c r="H656" i="1" a="1"/>
  <c r="H656" i="1" s="1"/>
  <c r="H657" i="1" a="1"/>
  <c r="H657" i="1" s="1"/>
  <c r="H658" i="1" a="1"/>
  <c r="H658" i="1" s="1"/>
  <c r="H659" i="1" a="1"/>
  <c r="H659" i="1" s="1"/>
  <c r="H660" i="1" a="1"/>
  <c r="H660" i="1" s="1"/>
  <c r="H661" i="1" a="1"/>
  <c r="H661" i="1" s="1"/>
  <c r="H662" i="1" a="1"/>
  <c r="H662" i="1" s="1"/>
  <c r="H663" i="1" a="1"/>
  <c r="H663" i="1" s="1"/>
  <c r="H664" i="1" a="1"/>
  <c r="H664" i="1" s="1"/>
  <c r="H665" i="1" a="1"/>
  <c r="H665" i="1" s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I333" i="1"/>
  <c r="H333" i="1" a="1"/>
  <c r="H333" i="1" s="1"/>
  <c r="G333" i="1" a="1"/>
  <c r="G333" i="1" s="1"/>
  <c r="F333" i="1" a="1"/>
  <c r="F333" i="1" s="1"/>
  <c r="E333" i="1"/>
  <c r="D333" i="1"/>
  <c r="C333" i="1"/>
  <c r="B333" i="1"/>
  <c r="I332" i="1"/>
  <c r="H332" i="1" a="1"/>
  <c r="H332" i="1" s="1"/>
  <c r="G332" i="1" a="1"/>
  <c r="G332" i="1" s="1"/>
  <c r="F332" i="1" a="1"/>
  <c r="F332" i="1" s="1"/>
  <c r="E332" i="1"/>
  <c r="D332" i="1"/>
  <c r="C332" i="1"/>
  <c r="B332" i="1"/>
  <c r="I331" i="1"/>
  <c r="H331" i="1" a="1"/>
  <c r="H331" i="1" s="1"/>
  <c r="G331" i="1" a="1"/>
  <c r="G331" i="1" s="1"/>
  <c r="F331" i="1" a="1"/>
  <c r="F331" i="1" s="1"/>
  <c r="E331" i="1"/>
  <c r="D331" i="1"/>
  <c r="C331" i="1"/>
  <c r="B331" i="1"/>
  <c r="I330" i="1"/>
  <c r="H330" i="1" a="1"/>
  <c r="H330" i="1" s="1"/>
  <c r="G330" i="1" a="1"/>
  <c r="G330" i="1" s="1"/>
  <c r="F330" i="1" a="1"/>
  <c r="F330" i="1" s="1"/>
  <c r="E330" i="1"/>
  <c r="D330" i="1"/>
  <c r="C330" i="1"/>
  <c r="B330" i="1"/>
  <c r="I329" i="1"/>
  <c r="H329" i="1" a="1"/>
  <c r="H329" i="1" s="1"/>
  <c r="G329" i="1" a="1"/>
  <c r="G329" i="1" s="1"/>
  <c r="F329" i="1" a="1"/>
  <c r="F329" i="1" s="1"/>
  <c r="E329" i="1"/>
  <c r="D329" i="1"/>
  <c r="C329" i="1"/>
  <c r="B329" i="1"/>
  <c r="I328" i="1"/>
  <c r="H328" i="1" a="1"/>
  <c r="H328" i="1" s="1"/>
  <c r="G328" i="1" a="1"/>
  <c r="G328" i="1" s="1"/>
  <c r="F328" i="1" a="1"/>
  <c r="F328" i="1" s="1"/>
  <c r="E328" i="1"/>
  <c r="D328" i="1"/>
  <c r="C328" i="1"/>
  <c r="B328" i="1"/>
  <c r="I327" i="1"/>
  <c r="H327" i="1" a="1"/>
  <c r="H327" i="1" s="1"/>
  <c r="G327" i="1" a="1"/>
  <c r="G327" i="1" s="1"/>
  <c r="F327" i="1" a="1"/>
  <c r="F327" i="1" s="1"/>
  <c r="E327" i="1"/>
  <c r="D327" i="1"/>
  <c r="C327" i="1"/>
  <c r="B327" i="1"/>
  <c r="I326" i="1"/>
  <c r="H326" i="1" a="1"/>
  <c r="H326" i="1" s="1"/>
  <c r="G326" i="1" a="1"/>
  <c r="G326" i="1" s="1"/>
  <c r="F326" i="1" a="1"/>
  <c r="F326" i="1" s="1"/>
  <c r="E326" i="1"/>
  <c r="D326" i="1"/>
  <c r="C326" i="1"/>
  <c r="B326" i="1"/>
  <c r="I325" i="1"/>
  <c r="H325" i="1" a="1"/>
  <c r="H325" i="1" s="1"/>
  <c r="G325" i="1" a="1"/>
  <c r="G325" i="1" s="1"/>
  <c r="F325" i="1" a="1"/>
  <c r="F325" i="1" s="1"/>
  <c r="E325" i="1"/>
  <c r="D325" i="1"/>
  <c r="C325" i="1"/>
  <c r="B325" i="1"/>
  <c r="I324" i="1"/>
  <c r="H324" i="1" a="1"/>
  <c r="H324" i="1" s="1"/>
  <c r="G324" i="1" a="1"/>
  <c r="G324" i="1" s="1"/>
  <c r="F324" i="1" a="1"/>
  <c r="F324" i="1" s="1"/>
  <c r="E324" i="1"/>
  <c r="D324" i="1"/>
  <c r="C324" i="1"/>
  <c r="B324" i="1"/>
  <c r="I323" i="1"/>
  <c r="H323" i="1" a="1"/>
  <c r="H323" i="1" s="1"/>
  <c r="G323" i="1" a="1"/>
  <c r="G323" i="1" s="1"/>
  <c r="F323" i="1" a="1"/>
  <c r="F323" i="1" s="1"/>
  <c r="E323" i="1"/>
  <c r="D323" i="1"/>
  <c r="C323" i="1"/>
  <c r="B323" i="1"/>
  <c r="I322" i="1"/>
  <c r="H322" i="1" a="1"/>
  <c r="H322" i="1" s="1"/>
  <c r="G322" i="1" a="1"/>
  <c r="G322" i="1" s="1"/>
  <c r="F322" i="1" a="1"/>
  <c r="F322" i="1" s="1"/>
  <c r="E322" i="1"/>
  <c r="D322" i="1"/>
  <c r="C322" i="1"/>
  <c r="B322" i="1"/>
  <c r="I321" i="1"/>
  <c r="H321" i="1" a="1"/>
  <c r="H321" i="1" s="1"/>
  <c r="G321" i="1" a="1"/>
  <c r="G321" i="1" s="1"/>
  <c r="F321" i="1" a="1"/>
  <c r="F321" i="1" s="1"/>
  <c r="E321" i="1"/>
  <c r="D321" i="1"/>
  <c r="C321" i="1"/>
  <c r="B321" i="1"/>
  <c r="I320" i="1"/>
  <c r="H320" i="1" a="1"/>
  <c r="H320" i="1" s="1"/>
  <c r="G320" i="1" a="1"/>
  <c r="G320" i="1" s="1"/>
  <c r="F320" i="1" a="1"/>
  <c r="F320" i="1" s="1"/>
  <c r="E320" i="1"/>
  <c r="D320" i="1"/>
  <c r="C320" i="1"/>
  <c r="B320" i="1"/>
  <c r="I319" i="1"/>
  <c r="H319" i="1" a="1"/>
  <c r="H319" i="1" s="1"/>
  <c r="G319" i="1" a="1"/>
  <c r="G319" i="1" s="1"/>
  <c r="F319" i="1" a="1"/>
  <c r="F319" i="1" s="1"/>
  <c r="E319" i="1"/>
  <c r="D319" i="1"/>
  <c r="C319" i="1"/>
  <c r="B319" i="1"/>
  <c r="I318" i="1"/>
  <c r="H318" i="1" a="1"/>
  <c r="H318" i="1" s="1"/>
  <c r="G318" i="1" a="1"/>
  <c r="G318" i="1" s="1"/>
  <c r="F318" i="1" a="1"/>
  <c r="F318" i="1" s="1"/>
  <c r="E318" i="1"/>
  <c r="D318" i="1"/>
  <c r="C318" i="1"/>
  <c r="B318" i="1"/>
  <c r="I317" i="1"/>
  <c r="H317" i="1" a="1"/>
  <c r="H317" i="1" s="1"/>
  <c r="G317" i="1" a="1"/>
  <c r="G317" i="1" s="1"/>
  <c r="F317" i="1" a="1"/>
  <c r="F317" i="1" s="1"/>
  <c r="E317" i="1"/>
  <c r="D317" i="1"/>
  <c r="C317" i="1"/>
  <c r="B317" i="1"/>
  <c r="B316" i="1"/>
  <c r="C316" i="1"/>
  <c r="D316" i="1"/>
  <c r="E316" i="1"/>
  <c r="F316" i="1" a="1"/>
  <c r="F316" i="1" s="1"/>
  <c r="G316" i="1" a="1"/>
  <c r="G316" i="1" s="1"/>
  <c r="H316" i="1" a="1"/>
  <c r="H316" i="1" s="1"/>
  <c r="I316" i="1"/>
  <c r="I315" i="1"/>
  <c r="H315" i="1" a="1"/>
  <c r="H315" i="1" s="1"/>
  <c r="G315" i="1" a="1"/>
  <c r="G315" i="1" s="1"/>
  <c r="F315" i="1" a="1"/>
  <c r="F315" i="1" s="1"/>
  <c r="E315" i="1"/>
  <c r="D315" i="1"/>
  <c r="C315" i="1"/>
  <c r="B315" i="1"/>
  <c r="I314" i="1"/>
  <c r="H314" i="1" a="1"/>
  <c r="H314" i="1" s="1"/>
  <c r="G314" i="1" a="1"/>
  <c r="G314" i="1" s="1"/>
  <c r="F314" i="1" a="1"/>
  <c r="F314" i="1" s="1"/>
  <c r="E314" i="1"/>
  <c r="D314" i="1"/>
  <c r="C314" i="1"/>
  <c r="B314" i="1"/>
  <c r="I313" i="1"/>
  <c r="H313" i="1" a="1"/>
  <c r="H313" i="1" s="1"/>
  <c r="G313" i="1" a="1"/>
  <c r="G313" i="1" s="1"/>
  <c r="F313" i="1" a="1"/>
  <c r="F313" i="1" s="1"/>
  <c r="E313" i="1"/>
  <c r="D313" i="1"/>
  <c r="C313" i="1"/>
  <c r="B313" i="1"/>
  <c r="H312" i="1" a="1"/>
  <c r="H312" i="1" s="1"/>
  <c r="G312" i="1" a="1"/>
  <c r="G312" i="1" s="1"/>
  <c r="F312" i="1" a="1"/>
  <c r="F312" i="1" s="1"/>
  <c r="E312" i="1"/>
  <c r="D312" i="1"/>
  <c r="C312" i="1"/>
  <c r="B312" i="1"/>
  <c r="I311" i="1"/>
  <c r="H311" i="1" a="1"/>
  <c r="H311" i="1" s="1"/>
  <c r="G311" i="1" a="1"/>
  <c r="G311" i="1" s="1"/>
  <c r="F311" i="1" a="1"/>
  <c r="F311" i="1" s="1"/>
  <c r="E311" i="1"/>
  <c r="D311" i="1"/>
  <c r="C311" i="1"/>
  <c r="B311" i="1"/>
  <c r="I310" i="1"/>
  <c r="H310" i="1" a="1"/>
  <c r="H310" i="1" s="1"/>
  <c r="G310" i="1" a="1"/>
  <c r="G310" i="1" s="1"/>
  <c r="F310" i="1" a="1"/>
  <c r="F310" i="1" s="1"/>
  <c r="E310" i="1"/>
  <c r="D310" i="1"/>
  <c r="C310" i="1"/>
  <c r="B310" i="1"/>
  <c r="I309" i="1"/>
  <c r="H309" i="1" a="1"/>
  <c r="H309" i="1" s="1"/>
  <c r="G309" i="1" a="1"/>
  <c r="G309" i="1" s="1"/>
  <c r="F309" i="1" a="1"/>
  <c r="F309" i="1" s="1"/>
  <c r="E309" i="1"/>
  <c r="D309" i="1"/>
  <c r="C309" i="1"/>
  <c r="B309" i="1"/>
  <c r="I308" i="1"/>
  <c r="H308" i="1" a="1"/>
  <c r="H308" i="1" s="1"/>
  <c r="G308" i="1" a="1"/>
  <c r="G308" i="1" s="1"/>
  <c r="F308" i="1" a="1"/>
  <c r="F308" i="1" s="1"/>
  <c r="E308" i="1"/>
  <c r="D308" i="1"/>
  <c r="C308" i="1"/>
  <c r="B308" i="1"/>
  <c r="I307" i="1"/>
  <c r="H307" i="1" a="1"/>
  <c r="H307" i="1" s="1"/>
  <c r="G307" i="1" a="1"/>
  <c r="G307" i="1" s="1"/>
  <c r="F307" i="1" a="1"/>
  <c r="F307" i="1" s="1"/>
  <c r="E307" i="1"/>
  <c r="D307" i="1"/>
  <c r="C307" i="1"/>
  <c r="B307" i="1"/>
  <c r="I306" i="1"/>
  <c r="H306" i="1" a="1"/>
  <c r="H306" i="1" s="1"/>
  <c r="G306" i="1" a="1"/>
  <c r="G306" i="1" s="1"/>
  <c r="F306" i="1" a="1"/>
  <c r="F306" i="1" s="1"/>
  <c r="E306" i="1"/>
  <c r="D306" i="1"/>
  <c r="C306" i="1"/>
  <c r="B306" i="1"/>
  <c r="I305" i="1"/>
  <c r="H305" i="1" a="1"/>
  <c r="H305" i="1" s="1"/>
  <c r="G305" i="1" a="1"/>
  <c r="G305" i="1" s="1"/>
  <c r="F305" i="1" a="1"/>
  <c r="F305" i="1" s="1"/>
  <c r="E305" i="1"/>
  <c r="D305" i="1"/>
  <c r="C305" i="1"/>
  <c r="B305" i="1"/>
  <c r="B304" i="1"/>
  <c r="C304" i="1"/>
  <c r="D304" i="1"/>
  <c r="E304" i="1"/>
  <c r="F304" i="1" a="1"/>
  <c r="F304" i="1" s="1"/>
  <c r="G304" i="1" a="1"/>
  <c r="G304" i="1" s="1"/>
  <c r="H304" i="1" a="1"/>
  <c r="H304" i="1" s="1"/>
  <c r="I304" i="1"/>
  <c r="I303" i="1"/>
  <c r="H303" i="1" a="1"/>
  <c r="H303" i="1" s="1"/>
  <c r="G303" i="1" a="1"/>
  <c r="G303" i="1" s="1"/>
  <c r="F303" i="1" a="1"/>
  <c r="F303" i="1" s="1"/>
  <c r="E303" i="1"/>
  <c r="D303" i="1"/>
  <c r="C303" i="1"/>
  <c r="B303" i="1"/>
  <c r="I302" i="1"/>
  <c r="H302" i="1" a="1"/>
  <c r="H302" i="1" s="1"/>
  <c r="G302" i="1" a="1"/>
  <c r="G302" i="1" s="1"/>
  <c r="F302" i="1" a="1"/>
  <c r="F302" i="1" s="1"/>
  <c r="E302" i="1"/>
  <c r="D302" i="1"/>
  <c r="C302" i="1"/>
  <c r="B302" i="1"/>
  <c r="I301" i="1"/>
  <c r="H301" i="1" a="1"/>
  <c r="H301" i="1" s="1"/>
  <c r="G301" i="1" a="1"/>
  <c r="G301" i="1" s="1"/>
  <c r="F301" i="1" a="1"/>
  <c r="F301" i="1" s="1"/>
  <c r="E301" i="1"/>
  <c r="D301" i="1"/>
  <c r="C301" i="1"/>
  <c r="B301" i="1"/>
  <c r="I300" i="1"/>
  <c r="H300" i="1" a="1"/>
  <c r="H300" i="1" s="1"/>
  <c r="G300" i="1" a="1"/>
  <c r="G300" i="1" s="1"/>
  <c r="F300" i="1" a="1"/>
  <c r="F300" i="1" s="1"/>
  <c r="E300" i="1"/>
  <c r="D300" i="1"/>
  <c r="C300" i="1"/>
  <c r="B300" i="1"/>
  <c r="I299" i="1"/>
  <c r="H299" i="1" a="1"/>
  <c r="H299" i="1" s="1"/>
  <c r="G299" i="1" a="1"/>
  <c r="G299" i="1" s="1"/>
  <c r="F299" i="1" a="1"/>
  <c r="F299" i="1" s="1"/>
  <c r="E299" i="1"/>
  <c r="D299" i="1"/>
  <c r="C299" i="1"/>
  <c r="B299" i="1"/>
  <c r="I298" i="1"/>
  <c r="H298" i="1" a="1"/>
  <c r="H298" i="1" s="1"/>
  <c r="G298" i="1" a="1"/>
  <c r="G298" i="1" s="1"/>
  <c r="F298" i="1" a="1"/>
  <c r="F298" i="1" s="1"/>
  <c r="E298" i="1"/>
  <c r="D298" i="1"/>
  <c r="C298" i="1"/>
  <c r="B298" i="1"/>
  <c r="I297" i="1"/>
  <c r="H297" i="1" a="1"/>
  <c r="H297" i="1" s="1"/>
  <c r="G297" i="1" a="1"/>
  <c r="G297" i="1" s="1"/>
  <c r="F297" i="1" a="1"/>
  <c r="F297" i="1" s="1"/>
  <c r="E297" i="1"/>
  <c r="D297" i="1"/>
  <c r="C297" i="1"/>
  <c r="B297" i="1"/>
  <c r="I296" i="1"/>
  <c r="H296" i="1" a="1"/>
  <c r="H296" i="1" s="1"/>
  <c r="G296" i="1" a="1"/>
  <c r="G296" i="1" s="1"/>
  <c r="F296" i="1" a="1"/>
  <c r="F296" i="1" s="1"/>
  <c r="E296" i="1"/>
  <c r="D296" i="1"/>
  <c r="C296" i="1"/>
  <c r="B296" i="1"/>
  <c r="I295" i="1"/>
  <c r="H295" i="1" a="1"/>
  <c r="H295" i="1" s="1"/>
  <c r="G295" i="1" a="1"/>
  <c r="G295" i="1" s="1"/>
  <c r="F295" i="1" a="1"/>
  <c r="F295" i="1" s="1"/>
  <c r="E295" i="1"/>
  <c r="D295" i="1"/>
  <c r="C295" i="1"/>
  <c r="B295" i="1"/>
  <c r="I294" i="1"/>
  <c r="H294" i="1" a="1"/>
  <c r="H294" i="1" s="1"/>
  <c r="G294" i="1" a="1"/>
  <c r="G294" i="1" s="1"/>
  <c r="F294" i="1" a="1"/>
  <c r="F294" i="1" s="1"/>
  <c r="E294" i="1"/>
  <c r="D294" i="1"/>
  <c r="C294" i="1"/>
  <c r="B294" i="1"/>
  <c r="I293" i="1"/>
  <c r="H293" i="1" a="1"/>
  <c r="H293" i="1" s="1"/>
  <c r="G293" i="1" a="1"/>
  <c r="G293" i="1" s="1"/>
  <c r="F293" i="1" a="1"/>
  <c r="F293" i="1" s="1"/>
  <c r="E293" i="1"/>
  <c r="D293" i="1"/>
  <c r="C293" i="1"/>
  <c r="B293" i="1"/>
  <c r="I292" i="1"/>
  <c r="H292" i="1" a="1"/>
  <c r="H292" i="1" s="1"/>
  <c r="G292" i="1" a="1"/>
  <c r="G292" i="1" s="1"/>
  <c r="F292" i="1" a="1"/>
  <c r="F292" i="1" s="1"/>
  <c r="E292" i="1"/>
  <c r="D292" i="1"/>
  <c r="C292" i="1"/>
  <c r="B292" i="1"/>
  <c r="I291" i="1"/>
  <c r="H291" i="1" a="1"/>
  <c r="H291" i="1" s="1"/>
  <c r="G291" i="1" a="1"/>
  <c r="G291" i="1" s="1"/>
  <c r="F291" i="1" a="1"/>
  <c r="F291" i="1" s="1"/>
  <c r="E291" i="1"/>
  <c r="D291" i="1"/>
  <c r="C291" i="1"/>
  <c r="B291" i="1"/>
  <c r="I290" i="1"/>
  <c r="H290" i="1" a="1"/>
  <c r="H290" i="1" s="1"/>
  <c r="G290" i="1" a="1"/>
  <c r="G290" i="1" s="1"/>
  <c r="F290" i="1" a="1"/>
  <c r="F290" i="1" s="1"/>
  <c r="E290" i="1"/>
  <c r="D290" i="1"/>
  <c r="C290" i="1"/>
  <c r="B290" i="1"/>
  <c r="I289" i="1"/>
  <c r="H289" i="1" a="1"/>
  <c r="H289" i="1" s="1"/>
  <c r="G289" i="1" a="1"/>
  <c r="G289" i="1" s="1"/>
  <c r="F289" i="1" a="1"/>
  <c r="F289" i="1" s="1"/>
  <c r="E289" i="1"/>
  <c r="D289" i="1"/>
  <c r="C289" i="1"/>
  <c r="B289" i="1"/>
  <c r="I288" i="1"/>
  <c r="H288" i="1" a="1"/>
  <c r="H288" i="1" s="1"/>
  <c r="G288" i="1" a="1"/>
  <c r="G288" i="1" s="1"/>
  <c r="F288" i="1" a="1"/>
  <c r="F288" i="1" s="1"/>
  <c r="E288" i="1"/>
  <c r="D288" i="1"/>
  <c r="C288" i="1"/>
  <c r="B288" i="1"/>
  <c r="B287" i="1"/>
  <c r="C287" i="1"/>
  <c r="D287" i="1"/>
  <c r="E287" i="1"/>
  <c r="F287" i="1" a="1"/>
  <c r="F287" i="1" s="1"/>
  <c r="G287" i="1" a="1"/>
  <c r="G287" i="1" s="1"/>
  <c r="H287" i="1" a="1"/>
  <c r="H287" i="1" s="1"/>
  <c r="I287" i="1"/>
  <c r="I286" i="1"/>
  <c r="H286" i="1" a="1"/>
  <c r="H286" i="1" s="1"/>
  <c r="G286" i="1" a="1"/>
  <c r="G286" i="1" s="1"/>
  <c r="F286" i="1" a="1"/>
  <c r="F286" i="1" s="1"/>
  <c r="E286" i="1"/>
  <c r="D286" i="1"/>
  <c r="C286" i="1"/>
  <c r="B286" i="1"/>
  <c r="I285" i="1"/>
  <c r="H285" i="1" a="1"/>
  <c r="H285" i="1" s="1"/>
  <c r="G285" i="1" a="1"/>
  <c r="G285" i="1" s="1"/>
  <c r="F285" i="1" a="1"/>
  <c r="F285" i="1" s="1"/>
  <c r="E285" i="1"/>
  <c r="D285" i="1"/>
  <c r="C285" i="1"/>
  <c r="B285" i="1"/>
  <c r="B284" i="1"/>
  <c r="C284" i="1"/>
  <c r="D284" i="1"/>
  <c r="E284" i="1"/>
  <c r="F284" i="1" a="1"/>
  <c r="F284" i="1" s="1"/>
  <c r="H284" i="1" a="1"/>
  <c r="H284" i="1" s="1"/>
  <c r="I284" i="1"/>
  <c r="B283" i="1"/>
  <c r="C283" i="1"/>
  <c r="D283" i="1"/>
  <c r="E283" i="1"/>
  <c r="F283" i="1" a="1"/>
  <c r="F283" i="1" s="1"/>
  <c r="G283" i="1" a="1"/>
  <c r="G283" i="1" s="1"/>
  <c r="H283" i="1" a="1"/>
  <c r="H283" i="1" s="1"/>
  <c r="I283" i="1"/>
  <c r="B282" i="1"/>
  <c r="C282" i="1"/>
  <c r="D282" i="1"/>
  <c r="E282" i="1"/>
  <c r="F282" i="1" a="1"/>
  <c r="F282" i="1" s="1"/>
  <c r="G282" i="1" a="1"/>
  <c r="G282" i="1" s="1"/>
  <c r="H282" i="1" a="1"/>
  <c r="H282" i="1" s="1"/>
  <c r="I282" i="1"/>
  <c r="B281" i="1"/>
  <c r="C281" i="1"/>
  <c r="D281" i="1"/>
  <c r="E281" i="1"/>
  <c r="F281" i="1" a="1"/>
  <c r="F281" i="1" s="1"/>
  <c r="G281" i="1" a="1"/>
  <c r="G281" i="1" s="1"/>
  <c r="H281" i="1" a="1"/>
  <c r="H281" i="1" s="1"/>
  <c r="I281" i="1"/>
  <c r="B280" i="1"/>
  <c r="C280" i="1"/>
  <c r="D280" i="1"/>
  <c r="E280" i="1"/>
  <c r="F280" i="1" a="1"/>
  <c r="F280" i="1" s="1"/>
  <c r="I280" i="1"/>
  <c r="B279" i="1"/>
  <c r="C279" i="1"/>
  <c r="D279" i="1"/>
  <c r="E279" i="1"/>
  <c r="F279" i="1" a="1"/>
  <c r="F279" i="1" s="1"/>
  <c r="G279" i="1" a="1"/>
  <c r="G279" i="1" s="1"/>
  <c r="H279" i="1" a="1"/>
  <c r="H279" i="1" s="1"/>
  <c r="I279" i="1"/>
  <c r="B278" i="1"/>
  <c r="C278" i="1"/>
  <c r="D278" i="1"/>
  <c r="E278" i="1"/>
  <c r="F278" i="1" a="1"/>
  <c r="F278" i="1" s="1"/>
  <c r="G278" i="1" a="1"/>
  <c r="G278" i="1" s="1"/>
  <c r="H278" i="1" a="1"/>
  <c r="H278" i="1" s="1"/>
  <c r="I278" i="1"/>
  <c r="B277" i="1"/>
  <c r="C277" i="1"/>
  <c r="D277" i="1"/>
  <c r="E277" i="1"/>
  <c r="F277" i="1" a="1"/>
  <c r="F277" i="1" s="1"/>
  <c r="G277" i="1" a="1"/>
  <c r="G277" i="1" s="1"/>
  <c r="H277" i="1" a="1"/>
  <c r="H277" i="1" s="1"/>
  <c r="I277" i="1"/>
  <c r="B276" i="1"/>
  <c r="C276" i="1"/>
  <c r="D276" i="1"/>
  <c r="E276" i="1"/>
  <c r="F276" i="1" a="1"/>
  <c r="F276" i="1" s="1"/>
  <c r="G276" i="1" a="1"/>
  <c r="G276" i="1" s="1"/>
  <c r="H276" i="1" a="1"/>
  <c r="H276" i="1" s="1"/>
  <c r="I276" i="1"/>
  <c r="B275" i="1"/>
  <c r="C275" i="1"/>
  <c r="D275" i="1"/>
  <c r="E275" i="1"/>
  <c r="F275" i="1" a="1"/>
  <c r="F275" i="1" s="1"/>
  <c r="G275" i="1" a="1"/>
  <c r="G275" i="1" s="1"/>
  <c r="H275" i="1" a="1"/>
  <c r="H275" i="1" s="1"/>
  <c r="I275" i="1"/>
  <c r="B274" i="1"/>
  <c r="C274" i="1"/>
  <c r="D274" i="1"/>
  <c r="E274" i="1"/>
  <c r="F274" i="1" a="1"/>
  <c r="F274" i="1" s="1"/>
  <c r="G274" i="1" a="1"/>
  <c r="G274" i="1" s="1"/>
  <c r="H274" i="1" a="1"/>
  <c r="H274" i="1" s="1"/>
  <c r="I274" i="1"/>
  <c r="I273" i="1"/>
  <c r="H273" i="1" a="1"/>
  <c r="H273" i="1" s="1"/>
  <c r="G273" i="1" a="1"/>
  <c r="G273" i="1" s="1"/>
  <c r="F273" i="1" a="1"/>
  <c r="F273" i="1" s="1"/>
  <c r="E273" i="1"/>
  <c r="D273" i="1"/>
  <c r="C273" i="1"/>
  <c r="B273" i="1"/>
  <c r="B272" i="1"/>
  <c r="C272" i="1"/>
  <c r="D272" i="1"/>
  <c r="E272" i="1"/>
  <c r="F272" i="1" a="1"/>
  <c r="F272" i="1" s="1"/>
  <c r="G272" i="1" a="1"/>
  <c r="G272" i="1" s="1"/>
  <c r="H272" i="1" a="1"/>
  <c r="H272" i="1" s="1"/>
  <c r="I272" i="1"/>
  <c r="I271" i="1"/>
  <c r="H271" i="1" a="1"/>
  <c r="H271" i="1" s="1"/>
  <c r="G271" i="1" a="1"/>
  <c r="G271" i="1" s="1"/>
  <c r="F271" i="1" a="1"/>
  <c r="F271" i="1" s="1"/>
  <c r="E271" i="1"/>
  <c r="D271" i="1"/>
  <c r="C271" i="1"/>
  <c r="B271" i="1"/>
  <c r="B270" i="1"/>
  <c r="C270" i="1"/>
  <c r="D270" i="1"/>
  <c r="E270" i="1"/>
  <c r="F270" i="1" a="1"/>
  <c r="F270" i="1" s="1"/>
  <c r="G270" i="1" a="1"/>
  <c r="G270" i="1" s="1"/>
  <c r="H270" i="1" a="1"/>
  <c r="H270" i="1" s="1"/>
  <c r="I270" i="1"/>
  <c r="I269" i="1"/>
  <c r="H269" i="1" a="1"/>
  <c r="H269" i="1" s="1"/>
  <c r="G269" i="1" a="1"/>
  <c r="G269" i="1" s="1"/>
  <c r="F269" i="1" a="1"/>
  <c r="F269" i="1" s="1"/>
  <c r="E269" i="1"/>
  <c r="D269" i="1"/>
  <c r="C269" i="1"/>
  <c r="B269" i="1"/>
  <c r="I268" i="1"/>
  <c r="H268" i="1" a="1"/>
  <c r="H268" i="1" s="1"/>
  <c r="G268" i="1" a="1"/>
  <c r="G268" i="1" s="1"/>
  <c r="F268" i="1" a="1"/>
  <c r="F268" i="1" s="1"/>
  <c r="E268" i="1"/>
  <c r="D268" i="1"/>
  <c r="C268" i="1"/>
  <c r="B268" i="1"/>
  <c r="I267" i="1"/>
  <c r="H267" i="1" a="1"/>
  <c r="H267" i="1" s="1"/>
  <c r="G267" i="1" a="1"/>
  <c r="G267" i="1" s="1"/>
  <c r="F267" i="1" a="1"/>
  <c r="F267" i="1" s="1"/>
  <c r="E267" i="1"/>
  <c r="D267" i="1"/>
  <c r="C267" i="1"/>
  <c r="B267" i="1"/>
  <c r="I266" i="1"/>
  <c r="H266" i="1" a="1"/>
  <c r="H266" i="1" s="1"/>
  <c r="G266" i="1" a="1"/>
  <c r="G266" i="1" s="1"/>
  <c r="F266" i="1" a="1"/>
  <c r="F266" i="1" s="1"/>
  <c r="E266" i="1"/>
  <c r="D266" i="1"/>
  <c r="C266" i="1"/>
  <c r="B266" i="1"/>
  <c r="I265" i="1"/>
  <c r="H265" i="1" a="1"/>
  <c r="H265" i="1" s="1"/>
  <c r="G265" i="1" a="1"/>
  <c r="G265" i="1" s="1"/>
  <c r="F265" i="1" a="1"/>
  <c r="F265" i="1" s="1"/>
  <c r="E265" i="1"/>
  <c r="D265" i="1"/>
  <c r="C265" i="1"/>
  <c r="B265" i="1"/>
  <c r="B264" i="1"/>
  <c r="C264" i="1"/>
  <c r="D264" i="1"/>
  <c r="E264" i="1"/>
  <c r="F264" i="1" a="1"/>
  <c r="F264" i="1" s="1"/>
  <c r="G264" i="1" a="1"/>
  <c r="G264" i="1" s="1"/>
  <c r="H264" i="1" a="1"/>
  <c r="H264" i="1" s="1"/>
  <c r="I264" i="1"/>
  <c r="B263" i="1"/>
  <c r="C263" i="1"/>
  <c r="D263" i="1"/>
  <c r="E263" i="1"/>
  <c r="F263" i="1" a="1"/>
  <c r="F263" i="1" s="1"/>
  <c r="G263" i="1" a="1"/>
  <c r="G263" i="1" s="1"/>
  <c r="H263" i="1" a="1"/>
  <c r="H263" i="1" s="1"/>
  <c r="I263" i="1"/>
  <c r="B262" i="1"/>
  <c r="C262" i="1"/>
  <c r="D262" i="1"/>
  <c r="E262" i="1"/>
  <c r="F262" i="1" a="1"/>
  <c r="F262" i="1" s="1"/>
  <c r="G262" i="1" a="1"/>
  <c r="G262" i="1" s="1"/>
  <c r="H262" i="1" a="1"/>
  <c r="H262" i="1" s="1"/>
  <c r="I262" i="1"/>
  <c r="I261" i="1"/>
  <c r="H261" i="1" a="1"/>
  <c r="H261" i="1" s="1"/>
  <c r="G261" i="1" a="1"/>
  <c r="G261" i="1" s="1"/>
  <c r="F261" i="1" a="1"/>
  <c r="F261" i="1" s="1"/>
  <c r="E261" i="1"/>
  <c r="D261" i="1"/>
  <c r="C261" i="1"/>
  <c r="B261" i="1"/>
  <c r="B260" i="1"/>
  <c r="C260" i="1"/>
  <c r="D260" i="1"/>
  <c r="E260" i="1"/>
  <c r="F260" i="1" a="1"/>
  <c r="F260" i="1" s="1"/>
  <c r="G260" i="1" a="1"/>
  <c r="G260" i="1" s="1"/>
  <c r="H260" i="1" a="1"/>
  <c r="H260" i="1" s="1"/>
  <c r="I260" i="1"/>
  <c r="B259" i="1"/>
  <c r="C259" i="1"/>
  <c r="D259" i="1"/>
  <c r="E259" i="1"/>
  <c r="F259" i="1" a="1"/>
  <c r="F259" i="1" s="1"/>
  <c r="G259" i="1" a="1"/>
  <c r="G259" i="1" s="1"/>
  <c r="H259" i="1" a="1"/>
  <c r="H259" i="1" s="1"/>
  <c r="I259" i="1"/>
  <c r="B258" i="1"/>
  <c r="C258" i="1"/>
  <c r="D258" i="1"/>
  <c r="E258" i="1"/>
  <c r="F258" i="1" a="1"/>
  <c r="F258" i="1" s="1"/>
  <c r="G258" i="1" a="1"/>
  <c r="G258" i="1" s="1"/>
  <c r="H258" i="1" a="1"/>
  <c r="H258" i="1" s="1"/>
  <c r="I258" i="1"/>
  <c r="B257" i="1"/>
  <c r="C257" i="1"/>
  <c r="D257" i="1"/>
  <c r="E257" i="1"/>
  <c r="F257" i="1" a="1"/>
  <c r="F257" i="1" s="1"/>
  <c r="G257" i="1" a="1"/>
  <c r="G257" i="1" s="1"/>
  <c r="H257" i="1" a="1"/>
  <c r="H257" i="1" s="1"/>
  <c r="I257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B256" i="1"/>
  <c r="C256" i="1"/>
  <c r="D256" i="1"/>
  <c r="F256" i="1" a="1"/>
  <c r="F256" i="1" s="1"/>
  <c r="G256" i="1" a="1"/>
  <c r="G256" i="1" s="1"/>
  <c r="H256" i="1" a="1"/>
  <c r="H256" i="1" s="1"/>
  <c r="I256" i="1"/>
  <c r="B255" i="1"/>
  <c r="C255" i="1"/>
  <c r="D255" i="1"/>
  <c r="F255" i="1" a="1"/>
  <c r="F255" i="1" s="1"/>
  <c r="G255" i="1" a="1"/>
  <c r="G255" i="1" s="1"/>
  <c r="H255" i="1" a="1"/>
  <c r="H255" i="1" s="1"/>
  <c r="I255" i="1"/>
  <c r="B254" i="1"/>
  <c r="C254" i="1"/>
  <c r="D254" i="1"/>
  <c r="F254" i="1" a="1"/>
  <c r="F254" i="1" s="1"/>
  <c r="G254" i="1" a="1"/>
  <c r="G254" i="1" s="1"/>
  <c r="H254" i="1" a="1"/>
  <c r="H254" i="1" s="1"/>
  <c r="I254" i="1"/>
  <c r="I253" i="1"/>
  <c r="H253" i="1" a="1"/>
  <c r="H253" i="1" s="1"/>
  <c r="G253" i="1" a="1"/>
  <c r="G253" i="1" s="1"/>
  <c r="F253" i="1" a="1"/>
  <c r="F253" i="1" s="1"/>
  <c r="D253" i="1"/>
  <c r="C253" i="1"/>
  <c r="B253" i="1"/>
  <c r="I252" i="1"/>
  <c r="H252" i="1" a="1"/>
  <c r="H252" i="1" s="1"/>
  <c r="G252" i="1" a="1"/>
  <c r="G252" i="1" s="1"/>
  <c r="F252" i="1" a="1"/>
  <c r="F252" i="1" s="1"/>
  <c r="D252" i="1"/>
  <c r="C252" i="1"/>
  <c r="B252" i="1"/>
  <c r="I251" i="1"/>
  <c r="H251" i="1" a="1"/>
  <c r="H251" i="1" s="1"/>
  <c r="G251" i="1" a="1"/>
  <c r="G251" i="1" s="1"/>
  <c r="F251" i="1" a="1"/>
  <c r="F251" i="1" s="1"/>
  <c r="D251" i="1"/>
  <c r="C251" i="1"/>
  <c r="B251" i="1"/>
  <c r="I250" i="1"/>
  <c r="H250" i="1" a="1"/>
  <c r="H250" i="1" s="1"/>
  <c r="G250" i="1" a="1"/>
  <c r="G250" i="1" s="1"/>
  <c r="F250" i="1" a="1"/>
  <c r="F250" i="1" s="1"/>
  <c r="D250" i="1"/>
  <c r="C250" i="1"/>
  <c r="B250" i="1"/>
  <c r="I249" i="1"/>
  <c r="H249" i="1" a="1"/>
  <c r="H249" i="1" s="1"/>
  <c r="G249" i="1" a="1"/>
  <c r="G249" i="1" s="1"/>
  <c r="F249" i="1" a="1"/>
  <c r="F249" i="1" s="1"/>
  <c r="D249" i="1"/>
  <c r="C249" i="1"/>
  <c r="B249" i="1"/>
  <c r="B248" i="1"/>
  <c r="C248" i="1"/>
  <c r="D248" i="1"/>
  <c r="F248" i="1" a="1"/>
  <c r="F248" i="1" s="1"/>
  <c r="G248" i="1" a="1"/>
  <c r="G248" i="1" s="1"/>
  <c r="H248" i="1" a="1"/>
  <c r="H248" i="1" s="1"/>
  <c r="I248" i="1"/>
  <c r="B247" i="1"/>
  <c r="C247" i="1"/>
  <c r="D247" i="1"/>
  <c r="F247" i="1" a="1"/>
  <c r="F247" i="1" s="1"/>
  <c r="G247" i="1" a="1"/>
  <c r="G247" i="1" s="1"/>
  <c r="H247" i="1" a="1"/>
  <c r="H247" i="1" s="1"/>
  <c r="I247" i="1"/>
  <c r="B246" i="1"/>
  <c r="C246" i="1"/>
  <c r="D246" i="1"/>
  <c r="F246" i="1" a="1"/>
  <c r="F246" i="1" s="1"/>
  <c r="G246" i="1" a="1"/>
  <c r="G246" i="1" s="1"/>
  <c r="H246" i="1" a="1"/>
  <c r="H246" i="1" s="1"/>
  <c r="I246" i="1"/>
  <c r="B245" i="1"/>
  <c r="C245" i="1"/>
  <c r="D245" i="1"/>
  <c r="F245" i="1" a="1"/>
  <c r="F245" i="1" s="1"/>
  <c r="G245" i="1" a="1"/>
  <c r="G245" i="1" s="1"/>
  <c r="H245" i="1" a="1"/>
  <c r="H245" i="1" s="1"/>
  <c r="I245" i="1"/>
  <c r="B244" i="1"/>
  <c r="C244" i="1"/>
  <c r="D244" i="1"/>
  <c r="F244" i="1" a="1"/>
  <c r="F244" i="1" s="1"/>
  <c r="G244" i="1" a="1"/>
  <c r="G244" i="1" s="1"/>
  <c r="H244" i="1" a="1"/>
  <c r="H244" i="1" s="1"/>
  <c r="I244" i="1"/>
  <c r="B243" i="1"/>
  <c r="C243" i="1"/>
  <c r="D243" i="1"/>
  <c r="F243" i="1" a="1"/>
  <c r="F243" i="1" s="1"/>
  <c r="G243" i="1" a="1"/>
  <c r="G243" i="1" s="1"/>
  <c r="H243" i="1" a="1"/>
  <c r="H243" i="1" s="1"/>
  <c r="I243" i="1"/>
  <c r="B242" i="1"/>
  <c r="C242" i="1"/>
  <c r="D242" i="1"/>
  <c r="F242" i="1" a="1"/>
  <c r="F242" i="1" s="1"/>
  <c r="G242" i="1" a="1"/>
  <c r="G242" i="1" s="1"/>
  <c r="H242" i="1" a="1"/>
  <c r="H242" i="1" s="1"/>
  <c r="I242" i="1"/>
  <c r="B241" i="1"/>
  <c r="C241" i="1"/>
  <c r="D241" i="1"/>
  <c r="F241" i="1" a="1"/>
  <c r="F241" i="1" s="1"/>
  <c r="G241" i="1" a="1"/>
  <c r="G241" i="1" s="1"/>
  <c r="H241" i="1" a="1"/>
  <c r="H241" i="1" s="1"/>
  <c r="I241" i="1"/>
  <c r="B240" i="1"/>
  <c r="C240" i="1"/>
  <c r="D240" i="1"/>
  <c r="F240" i="1" a="1"/>
  <c r="F240" i="1" s="1"/>
  <c r="G240" i="1" a="1"/>
  <c r="G240" i="1" s="1"/>
  <c r="H240" i="1" a="1"/>
  <c r="H240" i="1" s="1"/>
  <c r="I240" i="1"/>
  <c r="B239" i="1"/>
  <c r="C239" i="1"/>
  <c r="D239" i="1"/>
  <c r="F239" i="1" a="1"/>
  <c r="F239" i="1" s="1"/>
  <c r="G239" i="1" a="1"/>
  <c r="G239" i="1" s="1"/>
  <c r="H239" i="1" a="1"/>
  <c r="H239" i="1" s="1"/>
  <c r="I239" i="1"/>
  <c r="B238" i="1"/>
  <c r="C238" i="1"/>
  <c r="D238" i="1"/>
  <c r="F238" i="1" a="1"/>
  <c r="F238" i="1" s="1"/>
  <c r="G238" i="1" a="1"/>
  <c r="G238" i="1" s="1"/>
  <c r="H238" i="1" a="1"/>
  <c r="H238" i="1" s="1"/>
  <c r="I238" i="1"/>
  <c r="B235" i="1"/>
  <c r="B236" i="1"/>
  <c r="B237" i="1"/>
  <c r="C235" i="1"/>
  <c r="C236" i="1"/>
  <c r="C237" i="1"/>
  <c r="D235" i="1"/>
  <c r="D236" i="1"/>
  <c r="D237" i="1"/>
  <c r="F235" i="1" a="1"/>
  <c r="F235" i="1" s="1"/>
  <c r="F236" i="1" a="1"/>
  <c r="F236" i="1" s="1"/>
  <c r="F237" i="1" a="1"/>
  <c r="F237" i="1" s="1"/>
  <c r="G235" i="1" a="1"/>
  <c r="G235" i="1" s="1"/>
  <c r="G236" i="1" a="1"/>
  <c r="G236" i="1" s="1"/>
  <c r="G237" i="1" a="1"/>
  <c r="G237" i="1" s="1"/>
  <c r="H235" i="1" a="1"/>
  <c r="H235" i="1" s="1"/>
  <c r="H236" i="1" a="1"/>
  <c r="H236" i="1" s="1"/>
  <c r="H237" i="1" a="1"/>
  <c r="H237" i="1" s="1"/>
  <c r="I235" i="1"/>
  <c r="I236" i="1"/>
  <c r="I23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H218" i="1" a="1"/>
  <c r="H218" i="1" s="1"/>
  <c r="H219" i="1" a="1"/>
  <c r="H219" i="1" s="1"/>
  <c r="H220" i="1" a="1"/>
  <c r="H220" i="1" s="1"/>
  <c r="H221" i="1" a="1"/>
  <c r="H221" i="1" s="1"/>
  <c r="H222" i="1" a="1"/>
  <c r="H222" i="1" s="1"/>
  <c r="H223" i="1" a="1"/>
  <c r="H223" i="1" s="1"/>
  <c r="H224" i="1" a="1"/>
  <c r="H224" i="1" s="1"/>
  <c r="H225" i="1" a="1"/>
  <c r="H225" i="1" s="1"/>
  <c r="H226" i="1" a="1"/>
  <c r="H226" i="1" s="1"/>
  <c r="H227" i="1" a="1"/>
  <c r="H227" i="1" s="1"/>
  <c r="H228" i="1" a="1"/>
  <c r="H228" i="1" s="1"/>
  <c r="H229" i="1" a="1"/>
  <c r="H229" i="1" s="1"/>
  <c r="H230" i="1" a="1"/>
  <c r="H230" i="1" s="1"/>
  <c r="H231" i="1" a="1"/>
  <c r="H231" i="1" s="1"/>
  <c r="H232" i="1" a="1"/>
  <c r="H232" i="1" s="1"/>
  <c r="H233" i="1" a="1"/>
  <c r="H233" i="1" s="1"/>
  <c r="H234" i="1" a="1"/>
  <c r="H234" i="1" s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B208" i="1"/>
  <c r="B209" i="1"/>
  <c r="B210" i="1"/>
  <c r="B211" i="1"/>
  <c r="B212" i="1"/>
  <c r="B213" i="1"/>
  <c r="B214" i="1"/>
  <c r="B215" i="1"/>
  <c r="B216" i="1"/>
  <c r="B217" i="1"/>
  <c r="C208" i="1"/>
  <c r="C209" i="1"/>
  <c r="C210" i="1"/>
  <c r="C211" i="1"/>
  <c r="C212" i="1"/>
  <c r="C213" i="1"/>
  <c r="C214" i="1"/>
  <c r="C215" i="1"/>
  <c r="C216" i="1"/>
  <c r="C217" i="1"/>
  <c r="D208" i="1"/>
  <c r="D209" i="1"/>
  <c r="D210" i="1"/>
  <c r="D211" i="1"/>
  <c r="D212" i="1"/>
  <c r="D213" i="1"/>
  <c r="D214" i="1"/>
  <c r="D215" i="1"/>
  <c r="D216" i="1"/>
  <c r="D217" i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H208" i="1" a="1"/>
  <c r="H208" i="1" s="1"/>
  <c r="H209" i="1" a="1"/>
  <c r="H209" i="1" s="1"/>
  <c r="H210" i="1" a="1"/>
  <c r="H210" i="1" s="1"/>
  <c r="H211" i="1" a="1"/>
  <c r="H211" i="1" s="1"/>
  <c r="H212" i="1" a="1"/>
  <c r="H212" i="1" s="1"/>
  <c r="H213" i="1" a="1"/>
  <c r="H213" i="1" s="1"/>
  <c r="H214" i="1" a="1"/>
  <c r="H214" i="1" s="1"/>
  <c r="H215" i="1" a="1"/>
  <c r="H215" i="1" s="1"/>
  <c r="H216" i="1" a="1"/>
  <c r="H216" i="1" s="1"/>
  <c r="H217" i="1" a="1"/>
  <c r="H217" i="1" s="1"/>
  <c r="I208" i="1"/>
  <c r="I209" i="1"/>
  <c r="I210" i="1"/>
  <c r="I211" i="1"/>
  <c r="I212" i="1"/>
  <c r="I213" i="1"/>
  <c r="I214" i="1"/>
  <c r="I215" i="1"/>
  <c r="I216" i="1"/>
  <c r="I217" i="1"/>
  <c r="B206" i="1"/>
  <c r="B207" i="1"/>
  <c r="C206" i="1"/>
  <c r="C207" i="1"/>
  <c r="D206" i="1"/>
  <c r="D207" i="1"/>
  <c r="F206" i="1" a="1"/>
  <c r="F206" i="1" s="1"/>
  <c r="F207" i="1" a="1"/>
  <c r="F207" i="1" s="1"/>
  <c r="G206" i="1" a="1"/>
  <c r="G206" i="1" s="1"/>
  <c r="G207" i="1" a="1"/>
  <c r="G207" i="1" s="1"/>
  <c r="H206" i="1" a="1"/>
  <c r="H206" i="1" s="1"/>
  <c r="H207" i="1" a="1"/>
  <c r="H207" i="1" s="1"/>
  <c r="I206" i="1"/>
  <c r="I207" i="1"/>
  <c r="B205" i="1"/>
  <c r="C205" i="1"/>
  <c r="D205" i="1"/>
  <c r="H205" i="1" a="1"/>
  <c r="H205" i="1" s="1"/>
  <c r="I205" i="1"/>
  <c r="B204" i="1"/>
  <c r="C204" i="1"/>
  <c r="D204" i="1"/>
  <c r="F204" i="1" a="1"/>
  <c r="F204" i="1" s="1"/>
  <c r="G204" i="1" a="1"/>
  <c r="G204" i="1" s="1"/>
  <c r="H204" i="1" a="1"/>
  <c r="H204" i="1" s="1"/>
  <c r="I204" i="1"/>
  <c r="B203" i="1"/>
  <c r="C203" i="1"/>
  <c r="D203" i="1"/>
  <c r="F203" i="1" a="1"/>
  <c r="F203" i="1" s="1"/>
  <c r="G203" i="1" a="1"/>
  <c r="G203" i="1" s="1"/>
  <c r="H203" i="1" a="1"/>
  <c r="H203" i="1" s="1"/>
  <c r="I203" i="1"/>
  <c r="I202" i="1"/>
  <c r="H202" i="1" a="1"/>
  <c r="H202" i="1" s="1"/>
  <c r="G202" i="1" a="1"/>
  <c r="G202" i="1" s="1"/>
  <c r="F202" i="1" a="1"/>
  <c r="F202" i="1" s="1"/>
  <c r="D202" i="1"/>
  <c r="C202" i="1"/>
  <c r="B202" i="1"/>
  <c r="I201" i="1"/>
  <c r="H201" i="1" a="1"/>
  <c r="H201" i="1" s="1"/>
  <c r="G201" i="1" a="1"/>
  <c r="G201" i="1" s="1"/>
  <c r="F201" i="1" a="1"/>
  <c r="F201" i="1" s="1"/>
  <c r="D201" i="1"/>
  <c r="C201" i="1"/>
  <c r="B201" i="1"/>
  <c r="I200" i="1"/>
  <c r="H200" i="1" a="1"/>
  <c r="H200" i="1" s="1"/>
  <c r="G200" i="1" a="1"/>
  <c r="G200" i="1" s="1"/>
  <c r="F200" i="1" a="1"/>
  <c r="F200" i="1" s="1"/>
  <c r="D200" i="1"/>
  <c r="C200" i="1"/>
  <c r="B200" i="1"/>
  <c r="I199" i="1"/>
  <c r="H199" i="1" a="1"/>
  <c r="H199" i="1" s="1"/>
  <c r="G199" i="1" a="1"/>
  <c r="G199" i="1" s="1"/>
  <c r="F199" i="1" a="1"/>
  <c r="F199" i="1" s="1"/>
  <c r="D199" i="1"/>
  <c r="C199" i="1"/>
  <c r="B199" i="1"/>
  <c r="I198" i="1"/>
  <c r="H198" i="1" a="1"/>
  <c r="H198" i="1" s="1"/>
  <c r="G198" i="1" a="1"/>
  <c r="G198" i="1" s="1"/>
  <c r="F198" i="1" a="1"/>
  <c r="F198" i="1" s="1"/>
  <c r="D198" i="1"/>
  <c r="C198" i="1"/>
  <c r="B198" i="1"/>
  <c r="I197" i="1"/>
  <c r="H197" i="1" a="1"/>
  <c r="H197" i="1" s="1"/>
  <c r="G197" i="1" a="1"/>
  <c r="G197" i="1" s="1"/>
  <c r="F197" i="1" a="1"/>
  <c r="F197" i="1" s="1"/>
  <c r="D197" i="1"/>
  <c r="C197" i="1"/>
  <c r="B197" i="1"/>
  <c r="I196" i="1"/>
  <c r="H196" i="1" a="1"/>
  <c r="H196" i="1" s="1"/>
  <c r="G196" i="1" a="1"/>
  <c r="G196" i="1" s="1"/>
  <c r="F196" i="1" a="1"/>
  <c r="F196" i="1" s="1"/>
  <c r="D196" i="1"/>
  <c r="C196" i="1"/>
  <c r="B196" i="1"/>
  <c r="I195" i="1"/>
  <c r="H195" i="1" a="1"/>
  <c r="H195" i="1" s="1"/>
  <c r="G195" i="1" a="1"/>
  <c r="G195" i="1" s="1"/>
  <c r="F195" i="1" a="1"/>
  <c r="F195" i="1" s="1"/>
  <c r="D195" i="1"/>
  <c r="C195" i="1"/>
  <c r="B195" i="1"/>
  <c r="I194" i="1"/>
  <c r="H194" i="1" a="1"/>
  <c r="H194" i="1" s="1"/>
  <c r="G194" i="1" a="1"/>
  <c r="G194" i="1" s="1"/>
  <c r="F194" i="1" a="1"/>
  <c r="F194" i="1" s="1"/>
  <c r="D194" i="1"/>
  <c r="C194" i="1"/>
  <c r="B194" i="1"/>
  <c r="B193" i="1"/>
  <c r="C193" i="1"/>
  <c r="D193" i="1"/>
  <c r="F193" i="1" a="1"/>
  <c r="F193" i="1" s="1"/>
  <c r="G193" i="1" a="1"/>
  <c r="G193" i="1" s="1"/>
  <c r="H193" i="1" a="1"/>
  <c r="H193" i="1" s="1"/>
  <c r="I193" i="1"/>
  <c r="B192" i="1"/>
  <c r="C192" i="1"/>
  <c r="D192" i="1"/>
  <c r="F192" i="1" a="1"/>
  <c r="F192" i="1" s="1"/>
  <c r="G192" i="1" a="1"/>
  <c r="G192" i="1" s="1"/>
  <c r="H192" i="1" a="1"/>
  <c r="H192" i="1" s="1"/>
  <c r="I192" i="1"/>
  <c r="B191" i="1"/>
  <c r="C191" i="1"/>
  <c r="D191" i="1"/>
  <c r="F191" i="1" a="1"/>
  <c r="F191" i="1" s="1"/>
  <c r="G191" i="1" a="1"/>
  <c r="G191" i="1" s="1"/>
  <c r="H191" i="1" a="1"/>
  <c r="H191" i="1" s="1"/>
  <c r="I191" i="1"/>
  <c r="I190" i="1"/>
  <c r="H190" i="1" a="1"/>
  <c r="H190" i="1" s="1"/>
  <c r="G190" i="1" a="1"/>
  <c r="G190" i="1" s="1"/>
  <c r="F190" i="1" a="1"/>
  <c r="F190" i="1" s="1"/>
  <c r="D190" i="1"/>
  <c r="C190" i="1"/>
  <c r="B190" i="1"/>
  <c r="I189" i="1"/>
  <c r="H189" i="1" a="1"/>
  <c r="H189" i="1" s="1"/>
  <c r="G189" i="1" a="1"/>
  <c r="G189" i="1" s="1"/>
  <c r="F189" i="1" a="1"/>
  <c r="F189" i="1" s="1"/>
  <c r="D189" i="1"/>
  <c r="C189" i="1"/>
  <c r="B189" i="1"/>
  <c r="I188" i="1"/>
  <c r="H188" i="1" a="1"/>
  <c r="H188" i="1" s="1"/>
  <c r="G188" i="1" a="1"/>
  <c r="G188" i="1" s="1"/>
  <c r="F188" i="1" a="1"/>
  <c r="F188" i="1" s="1"/>
  <c r="D188" i="1"/>
  <c r="C188" i="1"/>
  <c r="B188" i="1"/>
  <c r="B187" i="1"/>
  <c r="C187" i="1"/>
  <c r="D187" i="1"/>
  <c r="F187" i="1" a="1"/>
  <c r="F187" i="1" s="1"/>
  <c r="G187" i="1" a="1"/>
  <c r="G187" i="1" s="1"/>
  <c r="H187" i="1" a="1"/>
  <c r="H187" i="1" s="1"/>
  <c r="I187" i="1"/>
  <c r="I186" i="1"/>
  <c r="H186" i="1" a="1"/>
  <c r="H186" i="1" s="1"/>
  <c r="G186" i="1" a="1"/>
  <c r="G186" i="1" s="1"/>
  <c r="F186" i="1" a="1"/>
  <c r="F186" i="1" s="1"/>
  <c r="D186" i="1"/>
  <c r="C186" i="1"/>
  <c r="B186" i="1"/>
  <c r="I185" i="1"/>
  <c r="H185" i="1" a="1"/>
  <c r="H185" i="1" s="1"/>
  <c r="G185" i="1" a="1"/>
  <c r="G185" i="1" s="1"/>
  <c r="F185" i="1" a="1"/>
  <c r="F185" i="1" s="1"/>
  <c r="D185" i="1"/>
  <c r="C185" i="1"/>
  <c r="B185" i="1"/>
  <c r="B184" i="1"/>
  <c r="C184" i="1"/>
  <c r="D184" i="1"/>
  <c r="F184" i="1" a="1"/>
  <c r="F184" i="1" s="1"/>
  <c r="G184" i="1" a="1"/>
  <c r="G184" i="1" s="1"/>
  <c r="H184" i="1" a="1"/>
  <c r="H184" i="1" s="1"/>
  <c r="I184" i="1"/>
  <c r="B183" i="1"/>
  <c r="C183" i="1"/>
  <c r="D183" i="1"/>
  <c r="F183" i="1" a="1"/>
  <c r="F183" i="1" s="1"/>
  <c r="G183" i="1" a="1"/>
  <c r="G183" i="1" s="1"/>
  <c r="H183" i="1" a="1"/>
  <c r="H183" i="1" s="1"/>
  <c r="I183" i="1"/>
  <c r="B182" i="1"/>
  <c r="C182" i="1"/>
  <c r="D182" i="1"/>
  <c r="F182" i="1" a="1"/>
  <c r="F182" i="1" s="1"/>
  <c r="G182" i="1" a="1"/>
  <c r="G182" i="1" s="1"/>
  <c r="H182" i="1" a="1"/>
  <c r="H182" i="1" s="1"/>
  <c r="I182" i="1"/>
  <c r="B181" i="1"/>
  <c r="C181" i="1"/>
  <c r="D181" i="1"/>
  <c r="F181" i="1" a="1"/>
  <c r="F181" i="1" s="1"/>
  <c r="G181" i="1" a="1"/>
  <c r="G181" i="1" s="1"/>
  <c r="H181" i="1" a="1"/>
  <c r="H181" i="1" s="1"/>
  <c r="I181" i="1"/>
  <c r="I180" i="1"/>
  <c r="H180" i="1" a="1"/>
  <c r="H180" i="1" s="1"/>
  <c r="G180" i="1" a="1"/>
  <c r="G180" i="1" s="1"/>
  <c r="F180" i="1" a="1"/>
  <c r="F180" i="1" s="1"/>
  <c r="D180" i="1"/>
  <c r="C180" i="1"/>
  <c r="B180" i="1"/>
  <c r="I179" i="1"/>
  <c r="H179" i="1" a="1"/>
  <c r="H179" i="1" s="1"/>
  <c r="G179" i="1" a="1"/>
  <c r="G179" i="1" s="1"/>
  <c r="F179" i="1" a="1"/>
  <c r="F179" i="1" s="1"/>
  <c r="D179" i="1"/>
  <c r="C179" i="1"/>
  <c r="B179" i="1"/>
  <c r="I178" i="1"/>
  <c r="H178" i="1" a="1"/>
  <c r="H178" i="1" s="1"/>
  <c r="G178" i="1" a="1"/>
  <c r="G178" i="1" s="1"/>
  <c r="F178" i="1" a="1"/>
  <c r="F178" i="1" s="1"/>
  <c r="D178" i="1"/>
  <c r="C178" i="1"/>
  <c r="B178" i="1"/>
  <c r="B177" i="1"/>
  <c r="C177" i="1"/>
  <c r="D177" i="1"/>
  <c r="F177" i="1" a="1"/>
  <c r="F177" i="1" s="1"/>
  <c r="G177" i="1" a="1"/>
  <c r="G177" i="1" s="1"/>
  <c r="H177" i="1" a="1"/>
  <c r="H177" i="1" s="1"/>
  <c r="I177" i="1"/>
  <c r="B176" i="1"/>
  <c r="C176" i="1"/>
  <c r="D176" i="1"/>
  <c r="F176" i="1" a="1"/>
  <c r="F176" i="1" s="1"/>
  <c r="G176" i="1" a="1"/>
  <c r="G176" i="1" s="1"/>
  <c r="H176" i="1" a="1"/>
  <c r="H176" i="1" s="1"/>
  <c r="I176" i="1"/>
  <c r="B175" i="1"/>
  <c r="C175" i="1"/>
  <c r="D175" i="1"/>
  <c r="F175" i="1" a="1"/>
  <c r="F175" i="1" s="1"/>
  <c r="G175" i="1" a="1"/>
  <c r="G175" i="1" s="1"/>
  <c r="H175" i="1" a="1"/>
  <c r="H175" i="1" s="1"/>
  <c r="I175" i="1"/>
  <c r="B174" i="1"/>
  <c r="C174" i="1"/>
  <c r="D174" i="1"/>
  <c r="F174" i="1" a="1"/>
  <c r="F174" i="1" s="1"/>
  <c r="G174" i="1" a="1"/>
  <c r="G174" i="1" s="1"/>
  <c r="H174" i="1" a="1"/>
  <c r="H174" i="1" s="1"/>
  <c r="I174" i="1"/>
  <c r="B173" i="1"/>
  <c r="C173" i="1"/>
  <c r="D173" i="1"/>
  <c r="F173" i="1" a="1"/>
  <c r="F173" i="1" s="1"/>
  <c r="G173" i="1" a="1"/>
  <c r="G173" i="1" s="1"/>
  <c r="H173" i="1" a="1"/>
  <c r="H173" i="1" s="1"/>
  <c r="I173" i="1"/>
  <c r="B172" i="1"/>
  <c r="C172" i="1"/>
  <c r="D172" i="1"/>
  <c r="F172" i="1" a="1"/>
  <c r="F172" i="1" s="1"/>
  <c r="G172" i="1" a="1"/>
  <c r="G172" i="1" s="1"/>
  <c r="H172" i="1" a="1"/>
  <c r="H172" i="1" s="1"/>
  <c r="I172" i="1"/>
  <c r="B171" i="1"/>
  <c r="C171" i="1"/>
  <c r="D171" i="1"/>
  <c r="F171" i="1" a="1"/>
  <c r="F171" i="1" s="1"/>
  <c r="G171" i="1" a="1"/>
  <c r="G171" i="1" s="1"/>
  <c r="H171" i="1" a="1"/>
  <c r="H171" i="1" s="1"/>
  <c r="I171" i="1"/>
  <c r="B170" i="1"/>
  <c r="C170" i="1"/>
  <c r="D170" i="1"/>
  <c r="F170" i="1" a="1"/>
  <c r="F170" i="1" s="1"/>
  <c r="G170" i="1" a="1"/>
  <c r="G170" i="1" s="1"/>
  <c r="H170" i="1" a="1"/>
  <c r="H170" i="1" s="1"/>
  <c r="I169" i="1"/>
  <c r="H169" i="1" a="1"/>
  <c r="H169" i="1" s="1"/>
  <c r="G169" i="1" a="1"/>
  <c r="G169" i="1" s="1"/>
  <c r="F169" i="1" a="1"/>
  <c r="F169" i="1" s="1"/>
  <c r="D169" i="1"/>
  <c r="C169" i="1"/>
  <c r="B169" i="1"/>
  <c r="I168" i="1"/>
  <c r="H168" i="1" a="1"/>
  <c r="H168" i="1" s="1"/>
  <c r="G168" i="1" a="1"/>
  <c r="G168" i="1" s="1"/>
  <c r="F168" i="1" a="1"/>
  <c r="F168" i="1" s="1"/>
  <c r="D168" i="1"/>
  <c r="C168" i="1"/>
  <c r="B168" i="1"/>
  <c r="I167" i="1"/>
  <c r="H167" i="1" a="1"/>
  <c r="H167" i="1" s="1"/>
  <c r="G167" i="1" a="1"/>
  <c r="G167" i="1" s="1"/>
  <c r="F167" i="1" a="1"/>
  <c r="F167" i="1" s="1"/>
  <c r="D167" i="1"/>
  <c r="C167" i="1"/>
  <c r="B167" i="1"/>
  <c r="B166" i="1"/>
  <c r="C166" i="1"/>
  <c r="D166" i="1"/>
  <c r="F166" i="1" a="1"/>
  <c r="F166" i="1" s="1"/>
  <c r="G166" i="1" a="1"/>
  <c r="G166" i="1" s="1"/>
  <c r="H166" i="1" a="1"/>
  <c r="H166" i="1" s="1"/>
  <c r="I166" i="1"/>
  <c r="I165" i="1"/>
  <c r="H165" i="1" a="1"/>
  <c r="H165" i="1" s="1"/>
  <c r="G165" i="1" a="1"/>
  <c r="G165" i="1" s="1"/>
  <c r="F165" i="1" a="1"/>
  <c r="F165" i="1" s="1"/>
  <c r="D165" i="1"/>
  <c r="C165" i="1"/>
  <c r="B165" i="1"/>
  <c r="I164" i="1"/>
  <c r="H164" i="1" a="1"/>
  <c r="H164" i="1" s="1"/>
  <c r="G164" i="1" a="1"/>
  <c r="G164" i="1" s="1"/>
  <c r="F164" i="1" a="1"/>
  <c r="F164" i="1" s="1"/>
  <c r="D164" i="1"/>
  <c r="C164" i="1"/>
  <c r="B164" i="1"/>
  <c r="I163" i="1"/>
  <c r="H163" i="1" a="1"/>
  <c r="H163" i="1" s="1"/>
  <c r="G163" i="1" a="1"/>
  <c r="G163" i="1" s="1"/>
  <c r="F163" i="1" a="1"/>
  <c r="F163" i="1" s="1"/>
  <c r="D163" i="1"/>
  <c r="C163" i="1"/>
  <c r="B163" i="1"/>
  <c r="I162" i="1"/>
  <c r="H162" i="1" a="1"/>
  <c r="H162" i="1" s="1"/>
  <c r="G162" i="1" a="1"/>
  <c r="G162" i="1" s="1"/>
  <c r="F162" i="1" a="1"/>
  <c r="F162" i="1" s="1"/>
  <c r="D162" i="1"/>
  <c r="C162" i="1"/>
  <c r="B162" i="1"/>
  <c r="I161" i="1"/>
  <c r="H161" i="1" a="1"/>
  <c r="H161" i="1" s="1"/>
  <c r="G161" i="1" a="1"/>
  <c r="G161" i="1" s="1"/>
  <c r="F161" i="1" a="1"/>
  <c r="F161" i="1" s="1"/>
  <c r="D161" i="1"/>
  <c r="C161" i="1"/>
  <c r="B161" i="1"/>
  <c r="I160" i="1"/>
  <c r="H160" i="1" a="1"/>
  <c r="H160" i="1" s="1"/>
  <c r="G160" i="1" a="1"/>
  <c r="G160" i="1" s="1"/>
  <c r="F160" i="1" a="1"/>
  <c r="F160" i="1" s="1"/>
  <c r="D160" i="1"/>
  <c r="C160" i="1"/>
  <c r="B160" i="1"/>
  <c r="I159" i="1"/>
  <c r="H159" i="1" a="1"/>
  <c r="H159" i="1" s="1"/>
  <c r="G159" i="1" a="1"/>
  <c r="G159" i="1" s="1"/>
  <c r="F159" i="1" a="1"/>
  <c r="F159" i="1" s="1"/>
  <c r="D159" i="1"/>
  <c r="C159" i="1"/>
  <c r="B159" i="1"/>
  <c r="I158" i="1"/>
  <c r="H158" i="1" a="1"/>
  <c r="H158" i="1" s="1"/>
  <c r="G158" i="1" a="1"/>
  <c r="G158" i="1" s="1"/>
  <c r="F158" i="1" a="1"/>
  <c r="F158" i="1" s="1"/>
  <c r="D158" i="1"/>
  <c r="C158" i="1"/>
  <c r="B158" i="1"/>
  <c r="I157" i="1"/>
  <c r="H157" i="1" a="1"/>
  <c r="H157" i="1" s="1"/>
  <c r="G157" i="1" a="1"/>
  <c r="G157" i="1" s="1"/>
  <c r="F157" i="1" a="1"/>
  <c r="F157" i="1" s="1"/>
  <c r="D157" i="1"/>
  <c r="C157" i="1"/>
  <c r="B157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I45" i="1"/>
  <c r="H45" i="1" a="1"/>
  <c r="H45" i="1" s="1"/>
  <c r="G45" i="1" a="1"/>
  <c r="G45" i="1" s="1"/>
  <c r="F45" i="1" a="1"/>
  <c r="F45" i="1" s="1"/>
  <c r="D45" i="1"/>
  <c r="C45" i="1"/>
  <c r="B45" i="1"/>
  <c r="I110" i="1"/>
  <c r="H110" i="1" a="1"/>
  <c r="H110" i="1" s="1"/>
  <c r="G110" i="1" a="1"/>
  <c r="G110" i="1" s="1"/>
  <c r="F110" i="1" a="1"/>
  <c r="F110" i="1" s="1"/>
  <c r="D110" i="1"/>
  <c r="C110" i="1"/>
  <c r="B110" i="1"/>
  <c r="I105" i="1"/>
  <c r="H105" i="1" a="1"/>
  <c r="H105" i="1" s="1"/>
  <c r="G105" i="1" a="1"/>
  <c r="G105" i="1" s="1"/>
  <c r="F105" i="1" a="1"/>
  <c r="F105" i="1" s="1"/>
  <c r="D105" i="1"/>
  <c r="C105" i="1"/>
  <c r="B105" i="1"/>
  <c r="I143" i="1"/>
  <c r="I121" i="1"/>
  <c r="I17" i="1"/>
  <c r="I123" i="1"/>
  <c r="I128" i="1"/>
  <c r="I124" i="1"/>
  <c r="I126" i="1"/>
  <c r="I44" i="1"/>
  <c r="I135" i="1"/>
  <c r="I149" i="1"/>
  <c r="I138" i="1"/>
  <c r="I91" i="1"/>
  <c r="I92" i="1"/>
  <c r="I70" i="1"/>
  <c r="I65" i="1"/>
  <c r="I63" i="1"/>
  <c r="I60" i="1"/>
  <c r="I58" i="1"/>
  <c r="I51" i="1"/>
  <c r="I42" i="1"/>
  <c r="I88" i="1"/>
  <c r="I119" i="1"/>
  <c r="I133" i="1"/>
  <c r="I43" i="1"/>
  <c r="I8" i="1"/>
  <c r="I66" i="1"/>
  <c r="I46" i="1"/>
  <c r="I106" i="1"/>
  <c r="I113" i="1"/>
  <c r="I48" i="1"/>
  <c r="I47" i="1"/>
  <c r="I37" i="1"/>
  <c r="I34" i="1"/>
  <c r="I15" i="1"/>
  <c r="I100" i="1"/>
  <c r="I90" i="1"/>
  <c r="I94" i="1"/>
  <c r="I5" i="1"/>
  <c r="I64" i="1"/>
  <c r="I120" i="1"/>
  <c r="I13" i="1"/>
  <c r="I154" i="1"/>
  <c r="I78" i="1"/>
  <c r="I116" i="1"/>
  <c r="I134" i="1"/>
  <c r="I25" i="1"/>
  <c r="I148" i="1"/>
  <c r="I132" i="1"/>
  <c r="I33" i="1"/>
  <c r="I122" i="1"/>
  <c r="I32" i="1"/>
  <c r="I54" i="1"/>
  <c r="I93" i="1"/>
  <c r="I153" i="1"/>
  <c r="I59" i="1"/>
  <c r="I98" i="1"/>
  <c r="I127" i="1"/>
  <c r="I129" i="1"/>
  <c r="I144" i="1"/>
  <c r="I75" i="1"/>
  <c r="I28" i="1"/>
  <c r="I156" i="1"/>
  <c r="I155" i="1"/>
  <c r="I152" i="1"/>
  <c r="I151" i="1"/>
  <c r="I150" i="1"/>
  <c r="I147" i="1"/>
  <c r="I146" i="1"/>
  <c r="I145" i="1"/>
  <c r="I142" i="1"/>
  <c r="I141" i="1"/>
  <c r="I140" i="1"/>
  <c r="I139" i="1"/>
  <c r="I136" i="1"/>
  <c r="I137" i="1"/>
  <c r="I125" i="1"/>
  <c r="I131" i="1"/>
  <c r="I130" i="1"/>
  <c r="I118" i="1"/>
  <c r="I117" i="1"/>
  <c r="I115" i="1"/>
  <c r="I114" i="1"/>
  <c r="I112" i="1"/>
  <c r="I103" i="1"/>
  <c r="I104" i="1"/>
  <c r="I101" i="1"/>
  <c r="I102" i="1"/>
  <c r="I111" i="1"/>
  <c r="I109" i="1"/>
  <c r="I107" i="1"/>
  <c r="I108" i="1"/>
  <c r="I99" i="1"/>
  <c r="I97" i="1"/>
  <c r="I96" i="1"/>
  <c r="I95" i="1"/>
  <c r="I74" i="1"/>
  <c r="I89" i="1"/>
  <c r="I76" i="1"/>
  <c r="I81" i="1"/>
  <c r="I87" i="1"/>
  <c r="I86" i="1"/>
  <c r="I85" i="1"/>
  <c r="I84" i="1"/>
  <c r="I83" i="1"/>
  <c r="I82" i="1"/>
  <c r="I79" i="1"/>
  <c r="I80" i="1"/>
  <c r="I77" i="1"/>
  <c r="I73" i="1"/>
  <c r="I72" i="1"/>
  <c r="I71" i="1"/>
  <c r="I69" i="1"/>
  <c r="I68" i="1"/>
  <c r="I67" i="1"/>
  <c r="I55" i="1"/>
  <c r="I52" i="1"/>
  <c r="I53" i="1"/>
  <c r="I50" i="1"/>
  <c r="I49" i="1"/>
  <c r="I38" i="1"/>
  <c r="I41" i="1"/>
  <c r="I40" i="1"/>
  <c r="I39" i="1"/>
  <c r="I36" i="1"/>
  <c r="I35" i="1"/>
  <c r="I57" i="1"/>
  <c r="I56" i="1"/>
  <c r="I62" i="1"/>
  <c r="I61" i="1"/>
  <c r="I31" i="1"/>
  <c r="I30" i="1"/>
  <c r="I29" i="1"/>
  <c r="I27" i="1"/>
  <c r="I26" i="1"/>
  <c r="I24" i="1"/>
  <c r="I23" i="1"/>
  <c r="I20" i="1"/>
  <c r="I22" i="1"/>
  <c r="I21" i="1"/>
  <c r="I19" i="1"/>
  <c r="I18" i="1"/>
  <c r="I2" i="1"/>
  <c r="I16" i="1"/>
  <c r="I14" i="1"/>
  <c r="I12" i="1"/>
  <c r="I10" i="1"/>
  <c r="I11" i="1"/>
  <c r="I9" i="1"/>
  <c r="I3" i="1"/>
  <c r="I7" i="1"/>
  <c r="I6" i="1"/>
  <c r="I4" i="1"/>
  <c r="B143" i="1"/>
  <c r="C143" i="1"/>
  <c r="F143" i="1" a="1"/>
  <c r="F143" i="1" s="1"/>
  <c r="G143" i="1" a="1"/>
  <c r="G143" i="1" s="1"/>
  <c r="H143" i="1" a="1"/>
  <c r="H143" i="1" s="1"/>
  <c r="H121" i="1" a="1"/>
  <c r="H121" i="1" s="1"/>
  <c r="G121" i="1" a="1"/>
  <c r="G121" i="1" s="1"/>
  <c r="F121" i="1" a="1"/>
  <c r="F121" i="1" s="1"/>
  <c r="C121" i="1"/>
  <c r="B121" i="1"/>
  <c r="H17" i="1" a="1"/>
  <c r="H17" i="1" s="1"/>
  <c r="G17" i="1" a="1"/>
  <c r="G17" i="1" s="1"/>
  <c r="F17" i="1" a="1"/>
  <c r="F17" i="1" s="1"/>
  <c r="D17" i="1"/>
  <c r="C17" i="1"/>
  <c r="B17" i="1"/>
  <c r="H123" i="1" a="1"/>
  <c r="H123" i="1" s="1"/>
  <c r="G123" i="1" a="1"/>
  <c r="G123" i="1" s="1"/>
  <c r="F123" i="1" a="1"/>
  <c r="F123" i="1" s="1"/>
  <c r="C123" i="1"/>
  <c r="B123" i="1"/>
  <c r="H128" i="1" a="1"/>
  <c r="H128" i="1" s="1"/>
  <c r="G128" i="1" a="1"/>
  <c r="G128" i="1" s="1"/>
  <c r="F128" i="1" a="1"/>
  <c r="F128" i="1" s="1"/>
  <c r="C128" i="1"/>
  <c r="B128" i="1"/>
  <c r="H124" i="1" a="1"/>
  <c r="H124" i="1" s="1"/>
  <c r="G124" i="1" a="1"/>
  <c r="G124" i="1" s="1"/>
  <c r="F124" i="1" a="1"/>
  <c r="F124" i="1" s="1"/>
  <c r="C124" i="1"/>
  <c r="B124" i="1"/>
  <c r="H126" i="1" a="1"/>
  <c r="H126" i="1" s="1"/>
  <c r="G126" i="1" a="1"/>
  <c r="G126" i="1" s="1"/>
  <c r="F126" i="1" a="1"/>
  <c r="F126" i="1" s="1"/>
  <c r="C126" i="1"/>
  <c r="B126" i="1"/>
  <c r="H44" i="1" a="1"/>
  <c r="H44" i="1" s="1"/>
  <c r="G44" i="1" a="1"/>
  <c r="G44" i="1" s="1"/>
  <c r="F44" i="1" a="1"/>
  <c r="F44" i="1" s="1"/>
  <c r="D44" i="1"/>
  <c r="C44" i="1"/>
  <c r="B44" i="1"/>
  <c r="B135" i="1"/>
  <c r="C135" i="1"/>
  <c r="F135" i="1" a="1"/>
  <c r="F135" i="1" s="1"/>
  <c r="G135" i="1" a="1"/>
  <c r="G135" i="1" s="1"/>
  <c r="H135" i="1" a="1"/>
  <c r="H135" i="1" s="1"/>
  <c r="B89" i="1"/>
  <c r="C89" i="1"/>
  <c r="D89" i="1"/>
  <c r="F89" i="1" a="1"/>
  <c r="F89" i="1" s="1"/>
  <c r="G89" i="1" a="1"/>
  <c r="G89" i="1" s="1"/>
  <c r="H89" i="1" a="1"/>
  <c r="H89" i="1" s="1"/>
  <c r="B99" i="1"/>
  <c r="C99" i="1"/>
  <c r="D99" i="1"/>
  <c r="F99" i="1" a="1"/>
  <c r="F99" i="1" s="1"/>
  <c r="G99" i="1" a="1"/>
  <c r="G99" i="1" s="1"/>
  <c r="H99" i="1" a="1"/>
  <c r="H99" i="1" s="1"/>
  <c r="B112" i="1"/>
  <c r="C112" i="1"/>
  <c r="D112" i="1"/>
  <c r="F112" i="1" a="1"/>
  <c r="F112" i="1" s="1"/>
  <c r="G112" i="1" a="1"/>
  <c r="G112" i="1" s="1"/>
  <c r="H112" i="1" a="1"/>
  <c r="H112" i="1" s="1"/>
  <c r="B101" i="1"/>
  <c r="C101" i="1"/>
  <c r="D101" i="1"/>
  <c r="F101" i="1" a="1"/>
  <c r="F101" i="1" s="1"/>
  <c r="G101" i="1" a="1"/>
  <c r="G101" i="1" s="1"/>
  <c r="H101" i="1" a="1"/>
  <c r="H101" i="1" s="1"/>
  <c r="H29" i="1" a="1"/>
  <c r="H29" i="1" s="1"/>
  <c r="G29" i="1" a="1"/>
  <c r="G29" i="1" s="1"/>
  <c r="F29" i="1" a="1"/>
  <c r="F29" i="1" s="1"/>
  <c r="D29" i="1"/>
  <c r="C29" i="1"/>
  <c r="B29" i="1"/>
  <c r="H149" i="1" a="1"/>
  <c r="H149" i="1" s="1"/>
  <c r="G149" i="1" a="1"/>
  <c r="G149" i="1" s="1"/>
  <c r="F149" i="1" a="1"/>
  <c r="F149" i="1" s="1"/>
  <c r="C149" i="1"/>
  <c r="B149" i="1"/>
  <c r="H138" i="1" a="1"/>
  <c r="H138" i="1" s="1"/>
  <c r="G138" i="1" a="1"/>
  <c r="G138" i="1" s="1"/>
  <c r="F138" i="1" a="1"/>
  <c r="F138" i="1" s="1"/>
  <c r="C138" i="1"/>
  <c r="B138" i="1"/>
  <c r="H91" i="1" a="1"/>
  <c r="H91" i="1" s="1"/>
  <c r="H92" i="1" a="1"/>
  <c r="H92" i="1" s="1"/>
  <c r="G91" i="1" a="1"/>
  <c r="G91" i="1" s="1"/>
  <c r="G92" i="1" a="1"/>
  <c r="G92" i="1" s="1"/>
  <c r="F91" i="1" a="1"/>
  <c r="F91" i="1" s="1"/>
  <c r="F92" i="1" a="1"/>
  <c r="F92" i="1" s="1"/>
  <c r="D91" i="1"/>
  <c r="D92" i="1"/>
  <c r="C91" i="1"/>
  <c r="C92" i="1"/>
  <c r="B91" i="1"/>
  <c r="B92" i="1"/>
  <c r="H70" i="1" a="1"/>
  <c r="H70" i="1" s="1"/>
  <c r="G70" i="1" a="1"/>
  <c r="G70" i="1" s="1"/>
  <c r="F70" i="1" a="1"/>
  <c r="F70" i="1" s="1"/>
  <c r="D70" i="1"/>
  <c r="C70" i="1"/>
  <c r="B70" i="1"/>
  <c r="H65" i="1" a="1"/>
  <c r="H65" i="1" s="1"/>
  <c r="H63" i="1" a="1"/>
  <c r="H63" i="1" s="1"/>
  <c r="G65" i="1" a="1"/>
  <c r="G65" i="1" s="1"/>
  <c r="G63" i="1" a="1"/>
  <c r="G63" i="1" s="1"/>
  <c r="F65" i="1" a="1"/>
  <c r="F65" i="1" s="1"/>
  <c r="F63" i="1" a="1"/>
  <c r="F63" i="1" s="1"/>
  <c r="D65" i="1"/>
  <c r="D63" i="1"/>
  <c r="C65" i="1"/>
  <c r="C63" i="1"/>
  <c r="B65" i="1"/>
  <c r="B63" i="1"/>
  <c r="H60" i="1" a="1"/>
  <c r="H60" i="1" s="1"/>
  <c r="G60" i="1" a="1"/>
  <c r="G60" i="1" s="1"/>
  <c r="F60" i="1" a="1"/>
  <c r="F60" i="1" s="1"/>
  <c r="D60" i="1"/>
  <c r="C60" i="1"/>
  <c r="B60" i="1"/>
  <c r="H58" i="1" a="1"/>
  <c r="H58" i="1" s="1"/>
  <c r="G58" i="1" a="1"/>
  <c r="G58" i="1" s="1"/>
  <c r="F58" i="1" a="1"/>
  <c r="F58" i="1" s="1"/>
  <c r="D58" i="1"/>
  <c r="C58" i="1"/>
  <c r="B58" i="1"/>
  <c r="H51" i="1" a="1"/>
  <c r="H51" i="1" s="1"/>
  <c r="G51" i="1" a="1"/>
  <c r="G51" i="1" s="1"/>
  <c r="F51" i="1" a="1"/>
  <c r="F51" i="1" s="1"/>
  <c r="D51" i="1"/>
  <c r="C51" i="1"/>
  <c r="B51" i="1"/>
  <c r="H42" i="1" a="1"/>
  <c r="H42" i="1" s="1"/>
  <c r="G42" i="1" a="1"/>
  <c r="G42" i="1" s="1"/>
  <c r="F42" i="1" a="1"/>
  <c r="F42" i="1" s="1"/>
  <c r="D42" i="1"/>
  <c r="C42" i="1"/>
  <c r="B42" i="1"/>
  <c r="H88" i="1" a="1"/>
  <c r="H88" i="1" s="1"/>
  <c r="G88" i="1" a="1"/>
  <c r="G88" i="1" s="1"/>
  <c r="F88" i="1" a="1"/>
  <c r="F88" i="1" s="1"/>
  <c r="D88" i="1"/>
  <c r="C88" i="1"/>
  <c r="B88" i="1"/>
  <c r="H119" i="1" a="1"/>
  <c r="H119" i="1" s="1"/>
  <c r="G119" i="1" a="1"/>
  <c r="G119" i="1" s="1"/>
  <c r="F119" i="1" a="1"/>
  <c r="F119" i="1" s="1"/>
  <c r="C119" i="1"/>
  <c r="B119" i="1"/>
  <c r="H133" i="1" a="1"/>
  <c r="H133" i="1" s="1"/>
  <c r="G133" i="1" a="1"/>
  <c r="G133" i="1" s="1"/>
  <c r="F133" i="1" a="1"/>
  <c r="F133" i="1" s="1"/>
  <c r="C133" i="1"/>
  <c r="B133" i="1"/>
  <c r="B43" i="1"/>
  <c r="C43" i="1"/>
  <c r="D43" i="1"/>
  <c r="F43" i="1" a="1"/>
  <c r="F43" i="1" s="1"/>
  <c r="G43" i="1" a="1"/>
  <c r="G43" i="1" s="1"/>
  <c r="H43" i="1" a="1"/>
  <c r="H43" i="1" s="1"/>
  <c r="B125" i="1"/>
  <c r="C125" i="1"/>
  <c r="F125" i="1" a="1"/>
  <c r="F125" i="1" s="1"/>
  <c r="G125" i="1" a="1"/>
  <c r="G125" i="1" s="1"/>
  <c r="H125" i="1" a="1"/>
  <c r="H125" i="1" s="1"/>
  <c r="B103" i="1"/>
  <c r="C103" i="1"/>
  <c r="D103" i="1"/>
  <c r="F103" i="1" a="1"/>
  <c r="F103" i="1" s="1"/>
  <c r="G103" i="1" a="1"/>
  <c r="G103" i="1" s="1"/>
  <c r="H103" i="1" a="1"/>
  <c r="H103" i="1" s="1"/>
  <c r="B81" i="1"/>
  <c r="C81" i="1"/>
  <c r="D81" i="1"/>
  <c r="F81" i="1" a="1"/>
  <c r="F81" i="1" s="1"/>
  <c r="G81" i="1" a="1"/>
  <c r="G81" i="1" s="1"/>
  <c r="H81" i="1" a="1"/>
  <c r="H81" i="1" s="1"/>
  <c r="B10" i="1"/>
  <c r="C10" i="1"/>
  <c r="D10" i="1"/>
  <c r="F10" i="1" a="1"/>
  <c r="F10" i="1" s="1"/>
  <c r="G10" i="1" a="1"/>
  <c r="G10" i="1" s="1"/>
  <c r="H10" i="1" a="1"/>
  <c r="H10" i="1" s="1"/>
  <c r="B38" i="1"/>
  <c r="C38" i="1"/>
  <c r="D38" i="1"/>
  <c r="F38" i="1" a="1"/>
  <c r="F38" i="1" s="1"/>
  <c r="G38" i="1" a="1"/>
  <c r="G38" i="1" s="1"/>
  <c r="H38" i="1" a="1"/>
  <c r="H38" i="1" s="1"/>
  <c r="B111" i="1"/>
  <c r="C111" i="1"/>
  <c r="D111" i="1"/>
  <c r="F111" i="1" a="1"/>
  <c r="F111" i="1" s="1"/>
  <c r="G111" i="1" a="1"/>
  <c r="G111" i="1" s="1"/>
  <c r="H111" i="1" a="1"/>
  <c r="H111" i="1" s="1"/>
  <c r="F20" i="1" a="1"/>
  <c r="F20" i="1" s="1"/>
  <c r="G20" i="1" a="1"/>
  <c r="G20" i="1" s="1"/>
  <c r="H20" i="1" a="1"/>
  <c r="H20" i="1" s="1"/>
  <c r="F22" i="1" a="1"/>
  <c r="F22" i="1" s="1"/>
  <c r="B20" i="1"/>
  <c r="C20" i="1"/>
  <c r="D20" i="1"/>
  <c r="B8" i="1"/>
  <c r="C8" i="1"/>
  <c r="D8" i="1"/>
  <c r="F8" i="1" a="1"/>
  <c r="F8" i="1" s="1"/>
  <c r="G8" i="1" a="1"/>
  <c r="G8" i="1" s="1"/>
  <c r="H8" i="1" a="1"/>
  <c r="H8" i="1" s="1"/>
  <c r="H2" i="1" a="1"/>
  <c r="H2" i="1" s="1"/>
  <c r="G2" i="1" a="1"/>
  <c r="G2" i="1" s="1"/>
  <c r="F2" i="1" a="1"/>
  <c r="F2" i="1" s="1"/>
  <c r="D2" i="1"/>
  <c r="C2" i="1"/>
  <c r="B2" i="1"/>
  <c r="H66" i="1" a="1"/>
  <c r="H66" i="1" s="1"/>
  <c r="G66" i="1" a="1"/>
  <c r="G66" i="1" s="1"/>
  <c r="F66" i="1" a="1"/>
  <c r="F66" i="1" s="1"/>
  <c r="D66" i="1"/>
  <c r="C66" i="1"/>
  <c r="B66" i="1"/>
  <c r="H46" i="1" a="1"/>
  <c r="H46" i="1" s="1"/>
  <c r="G46" i="1" a="1"/>
  <c r="G46" i="1" s="1"/>
  <c r="F46" i="1" a="1"/>
  <c r="F46" i="1" s="1"/>
  <c r="D46" i="1"/>
  <c r="C46" i="1"/>
  <c r="B46" i="1"/>
  <c r="H106" i="1" a="1"/>
  <c r="H106" i="1" s="1"/>
  <c r="G106" i="1" a="1"/>
  <c r="G106" i="1" s="1"/>
  <c r="F106" i="1" a="1"/>
  <c r="F106" i="1" s="1"/>
  <c r="D106" i="1"/>
  <c r="C106" i="1"/>
  <c r="B106" i="1"/>
  <c r="H113" i="1" a="1"/>
  <c r="H113" i="1" s="1"/>
  <c r="G113" i="1" a="1"/>
  <c r="G113" i="1" s="1"/>
  <c r="F113" i="1" a="1"/>
  <c r="F113" i="1" s="1"/>
  <c r="D113" i="1"/>
  <c r="C113" i="1"/>
  <c r="B113" i="1"/>
  <c r="B48" i="1"/>
  <c r="C48" i="1"/>
  <c r="D48" i="1"/>
  <c r="F48" i="1" a="1"/>
  <c r="F48" i="1" s="1"/>
  <c r="G48" i="1" a="1"/>
  <c r="G48" i="1" s="1"/>
  <c r="H48" i="1" a="1"/>
  <c r="H48" i="1" s="1"/>
  <c r="H47" i="1" a="1"/>
  <c r="H47" i="1" s="1"/>
  <c r="G47" i="1" a="1"/>
  <c r="G47" i="1" s="1"/>
  <c r="F47" i="1" a="1"/>
  <c r="F47" i="1" s="1"/>
  <c r="D47" i="1"/>
  <c r="C47" i="1"/>
  <c r="B47" i="1"/>
  <c r="H37" i="1" a="1"/>
  <c r="H37" i="1" s="1"/>
  <c r="G37" i="1" a="1"/>
  <c r="G37" i="1" s="1"/>
  <c r="F37" i="1" a="1"/>
  <c r="F37" i="1" s="1"/>
  <c r="D37" i="1"/>
  <c r="C37" i="1"/>
  <c r="B37" i="1"/>
  <c r="H4" i="1" a="1"/>
  <c r="H4" i="1" s="1"/>
  <c r="H6" i="1" a="1"/>
  <c r="H6" i="1" s="1"/>
  <c r="H7" i="1" a="1"/>
  <c r="H7" i="1" s="1"/>
  <c r="H3" i="1" a="1"/>
  <c r="H3" i="1" s="1"/>
  <c r="H9" i="1" a="1"/>
  <c r="H9" i="1" s="1"/>
  <c r="H11" i="1" a="1"/>
  <c r="H11" i="1" s="1"/>
  <c r="H12" i="1" a="1"/>
  <c r="H12" i="1" s="1"/>
  <c r="H14" i="1" a="1"/>
  <c r="H14" i="1" s="1"/>
  <c r="H16" i="1" a="1"/>
  <c r="H16" i="1" s="1"/>
  <c r="H18" i="1" a="1"/>
  <c r="H18" i="1" s="1"/>
  <c r="H19" i="1" a="1"/>
  <c r="H19" i="1" s="1"/>
  <c r="H21" i="1" a="1"/>
  <c r="H21" i="1" s="1"/>
  <c r="H22" i="1" a="1"/>
  <c r="H22" i="1" s="1"/>
  <c r="H23" i="1" a="1"/>
  <c r="H23" i="1" s="1"/>
  <c r="H24" i="1" a="1"/>
  <c r="H24" i="1" s="1"/>
  <c r="H26" i="1" a="1"/>
  <c r="H26" i="1" s="1"/>
  <c r="H27" i="1" a="1"/>
  <c r="H27" i="1" s="1"/>
  <c r="H30" i="1" a="1"/>
  <c r="H30" i="1" s="1"/>
  <c r="H31" i="1" a="1"/>
  <c r="H31" i="1" s="1"/>
  <c r="H61" i="1" a="1"/>
  <c r="H61" i="1" s="1"/>
  <c r="H62" i="1" a="1"/>
  <c r="H62" i="1" s="1"/>
  <c r="H56" i="1" a="1"/>
  <c r="H56" i="1" s="1"/>
  <c r="H57" i="1" a="1"/>
  <c r="H57" i="1" s="1"/>
  <c r="H35" i="1" a="1"/>
  <c r="H35" i="1" s="1"/>
  <c r="H36" i="1" a="1"/>
  <c r="H36" i="1" s="1"/>
  <c r="H39" i="1" a="1"/>
  <c r="H39" i="1" s="1"/>
  <c r="H40" i="1" a="1"/>
  <c r="H40" i="1" s="1"/>
  <c r="H41" i="1" a="1"/>
  <c r="H41" i="1" s="1"/>
  <c r="H49" i="1" a="1"/>
  <c r="H49" i="1" s="1"/>
  <c r="H50" i="1" a="1"/>
  <c r="H50" i="1" s="1"/>
  <c r="H53" i="1" a="1"/>
  <c r="H53" i="1" s="1"/>
  <c r="H52" i="1" a="1"/>
  <c r="H52" i="1" s="1"/>
  <c r="H55" i="1" a="1"/>
  <c r="H55" i="1" s="1"/>
  <c r="H67" i="1" a="1"/>
  <c r="H67" i="1" s="1"/>
  <c r="H68" i="1" a="1"/>
  <c r="H68" i="1" s="1"/>
  <c r="H69" i="1" a="1"/>
  <c r="H69" i="1" s="1"/>
  <c r="H71" i="1" a="1"/>
  <c r="H71" i="1" s="1"/>
  <c r="H72" i="1" a="1"/>
  <c r="H72" i="1" s="1"/>
  <c r="H73" i="1" a="1"/>
  <c r="H73" i="1" s="1"/>
  <c r="H77" i="1" a="1"/>
  <c r="H77" i="1" s="1"/>
  <c r="H80" i="1" a="1"/>
  <c r="H80" i="1" s="1"/>
  <c r="H79" i="1" a="1"/>
  <c r="H79" i="1" s="1"/>
  <c r="H82" i="1" a="1"/>
  <c r="H82" i="1" s="1"/>
  <c r="H83" i="1" a="1"/>
  <c r="H83" i="1" s="1"/>
  <c r="H84" i="1" a="1"/>
  <c r="H84" i="1" s="1"/>
  <c r="H85" i="1" a="1"/>
  <c r="H85" i="1" s="1"/>
  <c r="H86" i="1" a="1"/>
  <c r="H86" i="1" s="1"/>
  <c r="H87" i="1" a="1"/>
  <c r="H87" i="1" s="1"/>
  <c r="H76" i="1" a="1"/>
  <c r="H76" i="1" s="1"/>
  <c r="H74" i="1" a="1"/>
  <c r="H74" i="1" s="1"/>
  <c r="H95" i="1" a="1"/>
  <c r="H95" i="1" s="1"/>
  <c r="H96" i="1" a="1"/>
  <c r="H96" i="1" s="1"/>
  <c r="H97" i="1" a="1"/>
  <c r="H97" i="1" s="1"/>
  <c r="H108" i="1" a="1"/>
  <c r="H108" i="1" s="1"/>
  <c r="H107" i="1" a="1"/>
  <c r="H107" i="1" s="1"/>
  <c r="H109" i="1" a="1"/>
  <c r="H109" i="1" s="1"/>
  <c r="H102" i="1" a="1"/>
  <c r="H102" i="1" s="1"/>
  <c r="H104" i="1" a="1"/>
  <c r="H104" i="1" s="1"/>
  <c r="H114" i="1" a="1"/>
  <c r="H114" i="1" s="1"/>
  <c r="H115" i="1" a="1"/>
  <c r="H115" i="1" s="1"/>
  <c r="H117" i="1" a="1"/>
  <c r="H117" i="1" s="1"/>
  <c r="H118" i="1" a="1"/>
  <c r="H118" i="1" s="1"/>
  <c r="H130" i="1" a="1"/>
  <c r="H130" i="1" s="1"/>
  <c r="H131" i="1" a="1"/>
  <c r="H131" i="1" s="1"/>
  <c r="H137" i="1" a="1"/>
  <c r="H137" i="1" s="1"/>
  <c r="H136" i="1" a="1"/>
  <c r="H136" i="1" s="1"/>
  <c r="H139" i="1" a="1"/>
  <c r="H139" i="1" s="1"/>
  <c r="H140" i="1" a="1"/>
  <c r="H140" i="1" s="1"/>
  <c r="H141" i="1" a="1"/>
  <c r="H141" i="1" s="1"/>
  <c r="H142" i="1" a="1"/>
  <c r="H142" i="1" s="1"/>
  <c r="H145" i="1" a="1"/>
  <c r="H145" i="1" s="1"/>
  <c r="H146" i="1" a="1"/>
  <c r="H146" i="1" s="1"/>
  <c r="H147" i="1" a="1"/>
  <c r="H147" i="1" s="1"/>
  <c r="H150" i="1" a="1"/>
  <c r="H150" i="1" s="1"/>
  <c r="H151" i="1" a="1"/>
  <c r="H151" i="1" s="1"/>
  <c r="H152" i="1" a="1"/>
  <c r="H152" i="1" s="1"/>
  <c r="H155" i="1" a="1"/>
  <c r="H155" i="1" s="1"/>
  <c r="H156" i="1" a="1"/>
  <c r="H156" i="1" s="1"/>
  <c r="H28" i="1" a="1"/>
  <c r="H28" i="1" s="1"/>
  <c r="H75" i="1" a="1"/>
  <c r="H75" i="1" s="1"/>
  <c r="H144" i="1" a="1"/>
  <c r="H144" i="1" s="1"/>
  <c r="H129" i="1" a="1"/>
  <c r="H129" i="1" s="1"/>
  <c r="H127" i="1" a="1"/>
  <c r="H127" i="1" s="1"/>
  <c r="H98" i="1" a="1"/>
  <c r="H98" i="1" s="1"/>
  <c r="H59" i="1" a="1"/>
  <c r="H59" i="1" s="1"/>
  <c r="H153" i="1" a="1"/>
  <c r="H153" i="1" s="1"/>
  <c r="H93" i="1" a="1"/>
  <c r="H93" i="1" s="1"/>
  <c r="H54" i="1" a="1"/>
  <c r="H54" i="1" s="1"/>
  <c r="H32" i="1" a="1"/>
  <c r="H32" i="1" s="1"/>
  <c r="H122" i="1" a="1"/>
  <c r="H122" i="1" s="1"/>
  <c r="H33" i="1" a="1"/>
  <c r="H33" i="1" s="1"/>
  <c r="H132" i="1" a="1"/>
  <c r="H132" i="1" s="1"/>
  <c r="H148" i="1" a="1"/>
  <c r="H148" i="1" s="1"/>
  <c r="H25" i="1" a="1"/>
  <c r="H25" i="1" s="1"/>
  <c r="H134" i="1" a="1"/>
  <c r="H134" i="1" s="1"/>
  <c r="H116" i="1" a="1"/>
  <c r="H116" i="1" s="1"/>
  <c r="H78" i="1" a="1"/>
  <c r="H78" i="1" s="1"/>
  <c r="H154" i="1" a="1"/>
  <c r="H154" i="1" s="1"/>
  <c r="H13" i="1" a="1"/>
  <c r="H13" i="1" s="1"/>
  <c r="H120" i="1" a="1"/>
  <c r="H120" i="1" s="1"/>
  <c r="H64" i="1" a="1"/>
  <c r="H64" i="1" s="1"/>
  <c r="H5" i="1" a="1"/>
  <c r="H5" i="1" s="1"/>
  <c r="H94" i="1" a="1"/>
  <c r="H94" i="1" s="1"/>
  <c r="H90" i="1" a="1"/>
  <c r="H90" i="1" s="1"/>
  <c r="H100" i="1" a="1"/>
  <c r="H100" i="1" s="1"/>
  <c r="H15" i="1" a="1"/>
  <c r="H15" i="1" s="1"/>
  <c r="H34" i="1" a="1"/>
  <c r="H34" i="1" s="1"/>
  <c r="G4" i="1" a="1"/>
  <c r="G4" i="1" s="1"/>
  <c r="G6" i="1" a="1"/>
  <c r="G6" i="1" s="1"/>
  <c r="G7" i="1" a="1"/>
  <c r="G7" i="1" s="1"/>
  <c r="G3" i="1" a="1"/>
  <c r="G3" i="1" s="1"/>
  <c r="G9" i="1" a="1"/>
  <c r="G9" i="1" s="1"/>
  <c r="G11" i="1" a="1"/>
  <c r="G11" i="1" s="1"/>
  <c r="G12" i="1" a="1"/>
  <c r="G12" i="1" s="1"/>
  <c r="G14" i="1" a="1"/>
  <c r="G14" i="1" s="1"/>
  <c r="G16" i="1" a="1"/>
  <c r="G16" i="1" s="1"/>
  <c r="G18" i="1" a="1"/>
  <c r="G18" i="1" s="1"/>
  <c r="G19" i="1" a="1"/>
  <c r="G19" i="1" s="1"/>
  <c r="G21" i="1" a="1"/>
  <c r="G21" i="1" s="1"/>
  <c r="G22" i="1" a="1"/>
  <c r="G22" i="1" s="1"/>
  <c r="G23" i="1" a="1"/>
  <c r="G23" i="1" s="1"/>
  <c r="G24" i="1" a="1"/>
  <c r="G24" i="1" s="1"/>
  <c r="G26" i="1" a="1"/>
  <c r="G26" i="1" s="1"/>
  <c r="G27" i="1" a="1"/>
  <c r="G27" i="1" s="1"/>
  <c r="G30" i="1" a="1"/>
  <c r="G30" i="1" s="1"/>
  <c r="G31" i="1" a="1"/>
  <c r="G31" i="1" s="1"/>
  <c r="G61" i="1" a="1"/>
  <c r="G61" i="1" s="1"/>
  <c r="G62" i="1" a="1"/>
  <c r="G62" i="1" s="1"/>
  <c r="G56" i="1" a="1"/>
  <c r="G56" i="1" s="1"/>
  <c r="G57" i="1" a="1"/>
  <c r="G57" i="1" s="1"/>
  <c r="G35" i="1" a="1"/>
  <c r="G35" i="1" s="1"/>
  <c r="G36" i="1" a="1"/>
  <c r="G36" i="1" s="1"/>
  <c r="G39" i="1" a="1"/>
  <c r="G39" i="1" s="1"/>
  <c r="G40" i="1" a="1"/>
  <c r="G40" i="1" s="1"/>
  <c r="G41" i="1" a="1"/>
  <c r="G41" i="1" s="1"/>
  <c r="G49" i="1" a="1"/>
  <c r="G49" i="1" s="1"/>
  <c r="G50" i="1" a="1"/>
  <c r="G50" i="1" s="1"/>
  <c r="G53" i="1" a="1"/>
  <c r="G53" i="1" s="1"/>
  <c r="G52" i="1" a="1"/>
  <c r="G52" i="1" s="1"/>
  <c r="G55" i="1" a="1"/>
  <c r="G55" i="1" s="1"/>
  <c r="G67" i="1" a="1"/>
  <c r="G67" i="1" s="1"/>
  <c r="G68" i="1" a="1"/>
  <c r="G68" i="1" s="1"/>
  <c r="G69" i="1" a="1"/>
  <c r="G69" i="1" s="1"/>
  <c r="G71" i="1" a="1"/>
  <c r="G71" i="1" s="1"/>
  <c r="G72" i="1" a="1"/>
  <c r="G72" i="1" s="1"/>
  <c r="G73" i="1" a="1"/>
  <c r="G73" i="1" s="1"/>
  <c r="G77" i="1" a="1"/>
  <c r="G77" i="1" s="1"/>
  <c r="G80" i="1" a="1"/>
  <c r="G80" i="1" s="1"/>
  <c r="G79" i="1" a="1"/>
  <c r="G79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76" i="1" a="1"/>
  <c r="G76" i="1" s="1"/>
  <c r="G74" i="1" a="1"/>
  <c r="G74" i="1" s="1"/>
  <c r="G95" i="1" a="1"/>
  <c r="G95" i="1" s="1"/>
  <c r="G96" i="1" a="1"/>
  <c r="G96" i="1" s="1"/>
  <c r="G97" i="1" a="1"/>
  <c r="G97" i="1" s="1"/>
  <c r="G108" i="1" a="1"/>
  <c r="G108" i="1" s="1"/>
  <c r="G107" i="1" a="1"/>
  <c r="G107" i="1" s="1"/>
  <c r="G109" i="1" a="1"/>
  <c r="G109" i="1" s="1"/>
  <c r="G102" i="1" a="1"/>
  <c r="G102" i="1" s="1"/>
  <c r="G104" i="1" a="1"/>
  <c r="G104" i="1" s="1"/>
  <c r="G114" i="1" a="1"/>
  <c r="G114" i="1" s="1"/>
  <c r="G115" i="1" a="1"/>
  <c r="G115" i="1" s="1"/>
  <c r="G117" i="1" a="1"/>
  <c r="G117" i="1" s="1"/>
  <c r="G118" i="1" a="1"/>
  <c r="G118" i="1" s="1"/>
  <c r="G130" i="1" a="1"/>
  <c r="G130" i="1" s="1"/>
  <c r="G131" i="1" a="1"/>
  <c r="G131" i="1" s="1"/>
  <c r="G137" i="1" a="1"/>
  <c r="G137" i="1" s="1"/>
  <c r="G136" i="1" a="1"/>
  <c r="G136" i="1" s="1"/>
  <c r="G139" i="1" a="1"/>
  <c r="G139" i="1" s="1"/>
  <c r="G140" i="1" a="1"/>
  <c r="G140" i="1" s="1"/>
  <c r="G141" i="1" a="1"/>
  <c r="G141" i="1" s="1"/>
  <c r="G142" i="1" a="1"/>
  <c r="G142" i="1" s="1"/>
  <c r="G145" i="1" a="1"/>
  <c r="G145" i="1" s="1"/>
  <c r="G146" i="1" a="1"/>
  <c r="G146" i="1" s="1"/>
  <c r="G147" i="1" a="1"/>
  <c r="G147" i="1" s="1"/>
  <c r="G150" i="1" a="1"/>
  <c r="G150" i="1" s="1"/>
  <c r="G151" i="1" a="1"/>
  <c r="G151" i="1" s="1"/>
  <c r="G152" i="1" a="1"/>
  <c r="G152" i="1" s="1"/>
  <c r="G155" i="1" a="1"/>
  <c r="G155" i="1" s="1"/>
  <c r="G156" i="1" a="1"/>
  <c r="G156" i="1" s="1"/>
  <c r="G28" i="1" a="1"/>
  <c r="G28" i="1" s="1"/>
  <c r="G75" i="1" a="1"/>
  <c r="G75" i="1" s="1"/>
  <c r="G144" i="1" a="1"/>
  <c r="G144" i="1" s="1"/>
  <c r="G129" i="1" a="1"/>
  <c r="G129" i="1" s="1"/>
  <c r="G127" i="1" a="1"/>
  <c r="G127" i="1" s="1"/>
  <c r="G98" i="1" a="1"/>
  <c r="G98" i="1" s="1"/>
  <c r="G59" i="1" a="1"/>
  <c r="G59" i="1" s="1"/>
  <c r="G153" i="1" a="1"/>
  <c r="G153" i="1" s="1"/>
  <c r="G93" i="1" a="1"/>
  <c r="G93" i="1" s="1"/>
  <c r="G54" i="1" a="1"/>
  <c r="G54" i="1" s="1"/>
  <c r="G32" i="1" a="1"/>
  <c r="G32" i="1" s="1"/>
  <c r="G122" i="1" a="1"/>
  <c r="G122" i="1" s="1"/>
  <c r="G33" i="1" a="1"/>
  <c r="G33" i="1" s="1"/>
  <c r="G132" i="1" a="1"/>
  <c r="G132" i="1" s="1"/>
  <c r="G148" i="1" a="1"/>
  <c r="G148" i="1" s="1"/>
  <c r="G25" i="1" a="1"/>
  <c r="G25" i="1" s="1"/>
  <c r="G134" i="1" a="1"/>
  <c r="G134" i="1" s="1"/>
  <c r="G116" i="1" a="1"/>
  <c r="G116" i="1" s="1"/>
  <c r="G78" i="1" a="1"/>
  <c r="G78" i="1" s="1"/>
  <c r="G154" i="1" a="1"/>
  <c r="G154" i="1" s="1"/>
  <c r="G13" i="1" a="1"/>
  <c r="G13" i="1" s="1"/>
  <c r="G120" i="1" a="1"/>
  <c r="G120" i="1" s="1"/>
  <c r="G64" i="1" a="1"/>
  <c r="G64" i="1" s="1"/>
  <c r="G5" i="1" a="1"/>
  <c r="G5" i="1" s="1"/>
  <c r="G94" i="1" a="1"/>
  <c r="G94" i="1" s="1"/>
  <c r="G90" i="1" a="1"/>
  <c r="G90" i="1" s="1"/>
  <c r="G100" i="1" a="1"/>
  <c r="G100" i="1" s="1"/>
  <c r="G15" i="1" a="1"/>
  <c r="G15" i="1" s="1"/>
  <c r="G34" i="1" a="1"/>
  <c r="G34" i="1" s="1"/>
  <c r="F4" i="1" a="1"/>
  <c r="F4" i="1" s="1"/>
  <c r="F6" i="1" a="1"/>
  <c r="F6" i="1" s="1"/>
  <c r="F7" i="1" a="1"/>
  <c r="F7" i="1" s="1"/>
  <c r="F3" i="1" a="1"/>
  <c r="F3" i="1" s="1"/>
  <c r="F9" i="1" a="1"/>
  <c r="F9" i="1" s="1"/>
  <c r="F11" i="1" a="1"/>
  <c r="F11" i="1" s="1"/>
  <c r="F12" i="1" a="1"/>
  <c r="F12" i="1" s="1"/>
  <c r="F14" i="1" a="1"/>
  <c r="F14" i="1" s="1"/>
  <c r="F16" i="1" a="1"/>
  <c r="F16" i="1" s="1"/>
  <c r="F18" i="1" a="1"/>
  <c r="F18" i="1" s="1"/>
  <c r="F19" i="1" a="1"/>
  <c r="F19" i="1" s="1"/>
  <c r="F21" i="1" a="1"/>
  <c r="F21" i="1" s="1"/>
  <c r="F23" i="1" a="1"/>
  <c r="F23" i="1" s="1"/>
  <c r="F24" i="1" a="1"/>
  <c r="F24" i="1" s="1"/>
  <c r="F26" i="1" a="1"/>
  <c r="F26" i="1" s="1"/>
  <c r="F27" i="1" a="1"/>
  <c r="F27" i="1" s="1"/>
  <c r="F30" i="1" a="1"/>
  <c r="F30" i="1" s="1"/>
  <c r="F31" i="1" a="1"/>
  <c r="F31" i="1" s="1"/>
  <c r="F61" i="1" a="1"/>
  <c r="F61" i="1" s="1"/>
  <c r="F62" i="1" a="1"/>
  <c r="F62" i="1" s="1"/>
  <c r="F56" i="1" a="1"/>
  <c r="F56" i="1" s="1"/>
  <c r="F57" i="1" a="1"/>
  <c r="F57" i="1" s="1"/>
  <c r="F35" i="1" a="1"/>
  <c r="F35" i="1" s="1"/>
  <c r="F36" i="1" a="1"/>
  <c r="F36" i="1" s="1"/>
  <c r="F39" i="1" a="1"/>
  <c r="F39" i="1" s="1"/>
  <c r="F40" i="1" a="1"/>
  <c r="F40" i="1" s="1"/>
  <c r="F41" i="1" a="1"/>
  <c r="F41" i="1" s="1"/>
  <c r="F49" i="1" a="1"/>
  <c r="F49" i="1" s="1"/>
  <c r="F50" i="1" a="1"/>
  <c r="F50" i="1" s="1"/>
  <c r="F53" i="1" a="1"/>
  <c r="F53" i="1" s="1"/>
  <c r="F52" i="1" a="1"/>
  <c r="F52" i="1" s="1"/>
  <c r="F55" i="1" a="1"/>
  <c r="F55" i="1" s="1"/>
  <c r="F67" i="1" a="1"/>
  <c r="F67" i="1" s="1"/>
  <c r="F68" i="1" a="1"/>
  <c r="F68" i="1" s="1"/>
  <c r="F69" i="1" a="1"/>
  <c r="F69" i="1" s="1"/>
  <c r="F71" i="1" a="1"/>
  <c r="F71" i="1" s="1"/>
  <c r="F72" i="1" a="1"/>
  <c r="F72" i="1" s="1"/>
  <c r="F73" i="1" a="1"/>
  <c r="F73" i="1" s="1"/>
  <c r="F77" i="1" a="1"/>
  <c r="F77" i="1" s="1"/>
  <c r="F80" i="1" a="1"/>
  <c r="F80" i="1" s="1"/>
  <c r="F79" i="1" a="1"/>
  <c r="F79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76" i="1" a="1"/>
  <c r="F76" i="1" s="1"/>
  <c r="F74" i="1" a="1"/>
  <c r="F74" i="1" s="1"/>
  <c r="F95" i="1" a="1"/>
  <c r="F95" i="1" s="1"/>
  <c r="F96" i="1" a="1"/>
  <c r="F96" i="1" s="1"/>
  <c r="F97" i="1" a="1"/>
  <c r="F97" i="1" s="1"/>
  <c r="F108" i="1" a="1"/>
  <c r="F108" i="1" s="1"/>
  <c r="F107" i="1" a="1"/>
  <c r="F107" i="1" s="1"/>
  <c r="F109" i="1" a="1"/>
  <c r="F109" i="1" s="1"/>
  <c r="F102" i="1" a="1"/>
  <c r="F102" i="1" s="1"/>
  <c r="F104" i="1" a="1"/>
  <c r="F104" i="1" s="1"/>
  <c r="F114" i="1" a="1"/>
  <c r="F114" i="1" s="1"/>
  <c r="F115" i="1" a="1"/>
  <c r="F115" i="1" s="1"/>
  <c r="F117" i="1" a="1"/>
  <c r="F117" i="1" s="1"/>
  <c r="F118" i="1" a="1"/>
  <c r="F118" i="1" s="1"/>
  <c r="F130" i="1" a="1"/>
  <c r="F130" i="1" s="1"/>
  <c r="F131" i="1" a="1"/>
  <c r="F131" i="1" s="1"/>
  <c r="F137" i="1" a="1"/>
  <c r="F137" i="1" s="1"/>
  <c r="F136" i="1" a="1"/>
  <c r="F136" i="1" s="1"/>
  <c r="F139" i="1" a="1"/>
  <c r="F139" i="1" s="1"/>
  <c r="F140" i="1" a="1"/>
  <c r="F140" i="1" s="1"/>
  <c r="F141" i="1" a="1"/>
  <c r="F141" i="1" s="1"/>
  <c r="F142" i="1" a="1"/>
  <c r="F142" i="1" s="1"/>
  <c r="F145" i="1" a="1"/>
  <c r="F145" i="1" s="1"/>
  <c r="F146" i="1" a="1"/>
  <c r="F146" i="1" s="1"/>
  <c r="F147" i="1" a="1"/>
  <c r="F147" i="1" s="1"/>
  <c r="F150" i="1" a="1"/>
  <c r="F150" i="1" s="1"/>
  <c r="F151" i="1" a="1"/>
  <c r="F151" i="1" s="1"/>
  <c r="F152" i="1" a="1"/>
  <c r="F152" i="1" s="1"/>
  <c r="F155" i="1" a="1"/>
  <c r="F155" i="1" s="1"/>
  <c r="F156" i="1" a="1"/>
  <c r="F156" i="1" s="1"/>
  <c r="F28" i="1" a="1"/>
  <c r="F28" i="1" s="1"/>
  <c r="F75" i="1" a="1"/>
  <c r="F75" i="1" s="1"/>
  <c r="F144" i="1" a="1"/>
  <c r="F144" i="1" s="1"/>
  <c r="F129" i="1" a="1"/>
  <c r="F129" i="1" s="1"/>
  <c r="F127" i="1" a="1"/>
  <c r="F127" i="1" s="1"/>
  <c r="F98" i="1" a="1"/>
  <c r="F98" i="1" s="1"/>
  <c r="F59" i="1" a="1"/>
  <c r="F59" i="1" s="1"/>
  <c r="F153" i="1" a="1"/>
  <c r="F153" i="1" s="1"/>
  <c r="F93" i="1" a="1"/>
  <c r="F93" i="1" s="1"/>
  <c r="F54" i="1" a="1"/>
  <c r="F54" i="1" s="1"/>
  <c r="F32" i="1" a="1"/>
  <c r="F32" i="1" s="1"/>
  <c r="F122" i="1" a="1"/>
  <c r="F122" i="1" s="1"/>
  <c r="F33" i="1" a="1"/>
  <c r="F33" i="1" s="1"/>
  <c r="F132" i="1" a="1"/>
  <c r="F132" i="1" s="1"/>
  <c r="F148" i="1" a="1"/>
  <c r="F148" i="1" s="1"/>
  <c r="F25" i="1" a="1"/>
  <c r="F25" i="1" s="1"/>
  <c r="F134" i="1" a="1"/>
  <c r="F134" i="1" s="1"/>
  <c r="F116" i="1" a="1"/>
  <c r="F116" i="1" s="1"/>
  <c r="F78" i="1" a="1"/>
  <c r="F78" i="1" s="1"/>
  <c r="F154" i="1" a="1"/>
  <c r="F154" i="1" s="1"/>
  <c r="F13" i="1" a="1"/>
  <c r="F13" i="1" s="1"/>
  <c r="F120" i="1" a="1"/>
  <c r="F120" i="1" s="1"/>
  <c r="F64" i="1" a="1"/>
  <c r="F64" i="1" s="1"/>
  <c r="F5" i="1" a="1"/>
  <c r="F5" i="1" s="1"/>
  <c r="F94" i="1" a="1"/>
  <c r="F94" i="1" s="1"/>
  <c r="F90" i="1" a="1"/>
  <c r="F90" i="1" s="1"/>
  <c r="F100" i="1" a="1"/>
  <c r="F100" i="1" s="1"/>
  <c r="F15" i="1" a="1"/>
  <c r="F15" i="1" s="1"/>
  <c r="F34" i="1" a="1"/>
  <c r="F34" i="1" s="1"/>
  <c r="D34" i="1"/>
  <c r="C34" i="1"/>
  <c r="B34" i="1"/>
  <c r="D15" i="1"/>
  <c r="C15" i="1"/>
  <c r="B15" i="1"/>
  <c r="B100" i="1"/>
  <c r="C100" i="1"/>
  <c r="D100" i="1"/>
  <c r="B90" i="1"/>
  <c r="C90" i="1"/>
  <c r="D90" i="1"/>
  <c r="B94" i="1"/>
  <c r="C94" i="1"/>
  <c r="D94" i="1"/>
  <c r="D5" i="1"/>
  <c r="C5" i="1"/>
  <c r="B5" i="1"/>
  <c r="B64" i="1"/>
  <c r="C64" i="1"/>
  <c r="D64" i="1"/>
  <c r="B120" i="1"/>
  <c r="C120" i="1"/>
  <c r="B13" i="1"/>
  <c r="C13" i="1"/>
  <c r="D13" i="1"/>
  <c r="B154" i="1"/>
  <c r="C154" i="1"/>
  <c r="B86" i="1"/>
  <c r="C86" i="1"/>
  <c r="D86" i="1"/>
  <c r="B78" i="1"/>
  <c r="C78" i="1"/>
  <c r="D78" i="1"/>
  <c r="B116" i="1"/>
  <c r="C116" i="1"/>
  <c r="B6" i="1"/>
  <c r="C6" i="1"/>
  <c r="D6" i="1"/>
  <c r="B7" i="1"/>
  <c r="C7" i="1"/>
  <c r="D7" i="1"/>
  <c r="B134" i="1"/>
  <c r="C134" i="1"/>
  <c r="D25" i="1"/>
  <c r="C25" i="1"/>
  <c r="B25" i="1"/>
  <c r="C148" i="1"/>
  <c r="B148" i="1"/>
  <c r="C132" i="1"/>
  <c r="B132" i="1"/>
  <c r="B33" i="1"/>
  <c r="C33" i="1"/>
  <c r="D33" i="1"/>
  <c r="C122" i="1"/>
  <c r="B122" i="1"/>
  <c r="D32" i="1"/>
  <c r="C32" i="1"/>
  <c r="B32" i="1"/>
  <c r="D4" i="1"/>
  <c r="D3" i="1"/>
  <c r="D9" i="1"/>
  <c r="D11" i="1"/>
  <c r="D12" i="1"/>
  <c r="D14" i="1"/>
  <c r="D16" i="1"/>
  <c r="D18" i="1"/>
  <c r="D19" i="1"/>
  <c r="D21" i="1"/>
  <c r="D22" i="1"/>
  <c r="D23" i="1"/>
  <c r="D24" i="1"/>
  <c r="D26" i="1"/>
  <c r="D27" i="1"/>
  <c r="D30" i="1"/>
  <c r="D31" i="1"/>
  <c r="D61" i="1"/>
  <c r="D62" i="1"/>
  <c r="D56" i="1"/>
  <c r="D57" i="1"/>
  <c r="D35" i="1"/>
  <c r="D36" i="1"/>
  <c r="D39" i="1"/>
  <c r="D40" i="1"/>
  <c r="D41" i="1"/>
  <c r="D49" i="1"/>
  <c r="D50" i="1"/>
  <c r="D53" i="1"/>
  <c r="D52" i="1"/>
  <c r="D55" i="1"/>
  <c r="D67" i="1"/>
  <c r="D68" i="1"/>
  <c r="D69" i="1"/>
  <c r="D71" i="1"/>
  <c r="D72" i="1"/>
  <c r="D73" i="1"/>
  <c r="D77" i="1"/>
  <c r="D80" i="1"/>
  <c r="D79" i="1"/>
  <c r="D82" i="1"/>
  <c r="D83" i="1"/>
  <c r="D84" i="1"/>
  <c r="D85" i="1"/>
  <c r="D87" i="1"/>
  <c r="D76" i="1"/>
  <c r="D74" i="1"/>
  <c r="D95" i="1"/>
  <c r="D96" i="1"/>
  <c r="D97" i="1"/>
  <c r="D108" i="1"/>
  <c r="D107" i="1"/>
  <c r="D109" i="1"/>
  <c r="D102" i="1"/>
  <c r="D104" i="1"/>
  <c r="D114" i="1"/>
  <c r="D28" i="1"/>
  <c r="D75" i="1"/>
  <c r="D98" i="1"/>
  <c r="D59" i="1"/>
  <c r="D93" i="1"/>
  <c r="D54" i="1"/>
  <c r="C4" i="1"/>
  <c r="C3" i="1"/>
  <c r="C9" i="1"/>
  <c r="C11" i="1"/>
  <c r="C12" i="1"/>
  <c r="C14" i="1"/>
  <c r="C16" i="1"/>
  <c r="C18" i="1"/>
  <c r="C19" i="1"/>
  <c r="C21" i="1"/>
  <c r="C22" i="1"/>
  <c r="C23" i="1"/>
  <c r="C24" i="1"/>
  <c r="C26" i="1"/>
  <c r="C27" i="1"/>
  <c r="C30" i="1"/>
  <c r="C31" i="1"/>
  <c r="C61" i="1"/>
  <c r="C62" i="1"/>
  <c r="C56" i="1"/>
  <c r="C57" i="1"/>
  <c r="C35" i="1"/>
  <c r="C36" i="1"/>
  <c r="C39" i="1"/>
  <c r="C40" i="1"/>
  <c r="C41" i="1"/>
  <c r="C49" i="1"/>
  <c r="C50" i="1"/>
  <c r="C53" i="1"/>
  <c r="C52" i="1"/>
  <c r="C55" i="1"/>
  <c r="C67" i="1"/>
  <c r="C68" i="1"/>
  <c r="C69" i="1"/>
  <c r="C71" i="1"/>
  <c r="C72" i="1"/>
  <c r="C73" i="1"/>
  <c r="C77" i="1"/>
  <c r="C80" i="1"/>
  <c r="C79" i="1"/>
  <c r="C82" i="1"/>
  <c r="C83" i="1"/>
  <c r="C84" i="1"/>
  <c r="C85" i="1"/>
  <c r="C87" i="1"/>
  <c r="C76" i="1"/>
  <c r="C74" i="1"/>
  <c r="C95" i="1"/>
  <c r="C96" i="1"/>
  <c r="C97" i="1"/>
  <c r="C108" i="1"/>
  <c r="C107" i="1"/>
  <c r="C109" i="1"/>
  <c r="C102" i="1"/>
  <c r="C104" i="1"/>
  <c r="C114" i="1"/>
  <c r="C115" i="1"/>
  <c r="C117" i="1"/>
  <c r="C118" i="1"/>
  <c r="C130" i="1"/>
  <c r="C131" i="1"/>
  <c r="C137" i="1"/>
  <c r="C136" i="1"/>
  <c r="C139" i="1"/>
  <c r="C140" i="1"/>
  <c r="C141" i="1"/>
  <c r="C142" i="1"/>
  <c r="C145" i="1"/>
  <c r="C146" i="1"/>
  <c r="C147" i="1"/>
  <c r="C150" i="1"/>
  <c r="C151" i="1"/>
  <c r="C152" i="1"/>
  <c r="C155" i="1"/>
  <c r="C156" i="1"/>
  <c r="C28" i="1"/>
  <c r="C75" i="1"/>
  <c r="C144" i="1"/>
  <c r="C129" i="1"/>
  <c r="C127" i="1"/>
  <c r="C98" i="1"/>
  <c r="C59" i="1"/>
  <c r="C153" i="1"/>
  <c r="C93" i="1"/>
  <c r="C54" i="1"/>
  <c r="B4" i="1"/>
  <c r="B3" i="1"/>
  <c r="B9" i="1"/>
  <c r="B11" i="1"/>
  <c r="B12" i="1"/>
  <c r="B14" i="1"/>
  <c r="B16" i="1"/>
  <c r="B18" i="1"/>
  <c r="B19" i="1"/>
  <c r="B21" i="1"/>
  <c r="B22" i="1"/>
  <c r="B23" i="1"/>
  <c r="B24" i="1"/>
  <c r="B26" i="1"/>
  <c r="B27" i="1"/>
  <c r="B30" i="1"/>
  <c r="B31" i="1"/>
  <c r="B61" i="1"/>
  <c r="B62" i="1"/>
  <c r="B56" i="1"/>
  <c r="B57" i="1"/>
  <c r="B35" i="1"/>
  <c r="B36" i="1"/>
  <c r="B39" i="1"/>
  <c r="B40" i="1"/>
  <c r="B41" i="1"/>
  <c r="B49" i="1"/>
  <c r="B50" i="1"/>
  <c r="B53" i="1"/>
  <c r="B52" i="1"/>
  <c r="B55" i="1"/>
  <c r="B67" i="1"/>
  <c r="B68" i="1"/>
  <c r="B69" i="1"/>
  <c r="B71" i="1"/>
  <c r="B72" i="1"/>
  <c r="B73" i="1"/>
  <c r="B77" i="1"/>
  <c r="B80" i="1"/>
  <c r="B79" i="1"/>
  <c r="B82" i="1"/>
  <c r="B83" i="1"/>
  <c r="B84" i="1"/>
  <c r="B85" i="1"/>
  <c r="B87" i="1"/>
  <c r="B76" i="1"/>
  <c r="B74" i="1"/>
  <c r="B95" i="1"/>
  <c r="B96" i="1"/>
  <c r="B97" i="1"/>
  <c r="B108" i="1"/>
  <c r="B107" i="1"/>
  <c r="B109" i="1"/>
  <c r="B102" i="1"/>
  <c r="B104" i="1"/>
  <c r="B114" i="1"/>
  <c r="B115" i="1"/>
  <c r="B117" i="1"/>
  <c r="B118" i="1"/>
  <c r="B130" i="1"/>
  <c r="B131" i="1"/>
  <c r="B137" i="1"/>
  <c r="B136" i="1"/>
  <c r="B139" i="1"/>
  <c r="B140" i="1"/>
  <c r="B141" i="1"/>
  <c r="B142" i="1"/>
  <c r="B145" i="1"/>
  <c r="B146" i="1"/>
  <c r="B147" i="1"/>
  <c r="B150" i="1"/>
  <c r="B151" i="1"/>
  <c r="B152" i="1"/>
  <c r="B155" i="1"/>
  <c r="B156" i="1"/>
  <c r="B28" i="1"/>
  <c r="B75" i="1"/>
  <c r="B144" i="1"/>
  <c r="B129" i="1"/>
  <c r="B127" i="1"/>
  <c r="B98" i="1"/>
  <c r="B59" i="1"/>
  <c r="B153" i="1"/>
  <c r="B93" i="1"/>
  <c r="B5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<sst xmlns="http://schemas.openxmlformats.org/spreadsheetml/2006/main" count="3089" uniqueCount="1047">
  <si>
    <t>Item</t>
  </si>
  <si>
    <t>Style</t>
  </si>
  <si>
    <t>Grill Hole</t>
  </si>
  <si>
    <t>Burner</t>
  </si>
  <si>
    <t>Access Doors</t>
  </si>
  <si>
    <t>Fridges</t>
  </si>
  <si>
    <t>Drawer/Trash</t>
  </si>
  <si>
    <t>Warming</t>
  </si>
  <si>
    <t>Audio</t>
  </si>
  <si>
    <t>LED</t>
  </si>
  <si>
    <t>Foot Rail</t>
  </si>
  <si>
    <t>Siding</t>
  </si>
  <si>
    <t>Base Category</t>
  </si>
  <si>
    <t>Build Item</t>
  </si>
  <si>
    <t>Max Capacity</t>
  </si>
  <si>
    <t>26FIREPIT-N-NN-1-0-0-0-N-N-N-CA</t>
  </si>
  <si>
    <t>Parent</t>
  </si>
  <si>
    <t>ARB6-L-NN-1-1-0-0-N-Y-N-CA</t>
  </si>
  <si>
    <t>ARB6-L-NN-1-1-0-0-N-Y-Y-CA</t>
  </si>
  <si>
    <t>Child</t>
  </si>
  <si>
    <t>ARB6-L-NN-1-1-0-0-Y-Y-N-CA</t>
  </si>
  <si>
    <t>ARB6-L-NN-1-1-0-0-Y-Y-Y-CA</t>
  </si>
  <si>
    <t>ARB6-L-NN-1-1-1-0-N-Y-Y-CA</t>
  </si>
  <si>
    <t>ARB8-L-DR-1-1-0-0-Y-Y-N-CA</t>
  </si>
  <si>
    <t>ARB8-L-NN-1-1-0-0-Y-Y-N-CA</t>
  </si>
  <si>
    <t>ARB8-L-DR-1-1-0-0-Y-Y-Y-CA</t>
  </si>
  <si>
    <t>ARB8-L-NN-1-1-0-0-Y-Y-Y-CA</t>
  </si>
  <si>
    <t>ARB8-L-DR-1-1-1-0-Y-Y-N-CA</t>
  </si>
  <si>
    <t>ARB8-L-DR-1-1-1-0-Y-Y-Y-CA</t>
  </si>
  <si>
    <t>ARB8-L-NN-1-1-0-0-Y-N-Y-CA</t>
  </si>
  <si>
    <t>ARB8-L-NN-1-1-1-0-Y-Y-N-CA</t>
  </si>
  <si>
    <t>ARB8-L-NN-1-1-1-0-Y-Y-Y-CA</t>
  </si>
  <si>
    <t>ARB8-LXL-NN-1-1-1-0-Y-Y-N-CA</t>
  </si>
  <si>
    <t>Special</t>
  </si>
  <si>
    <t>FIREPIT-N-NN-0-0-0-0-N-N-N-CA</t>
  </si>
  <si>
    <t>GX03-C-NN-1-0-0-0-N-N-N-CA</t>
  </si>
  <si>
    <t>GX04-R-DL-0-0-0-1-N-N-N-CA</t>
  </si>
  <si>
    <t>GX04-R-DL-1-0-0-0-N-N-N-CA</t>
  </si>
  <si>
    <t>GX04-R-NN-1-0-0-0-N-N-N-CA</t>
  </si>
  <si>
    <t>GX04-R-DL-1-0-1-0-N-N-N-CA</t>
  </si>
  <si>
    <t>GX04-R-NN-1-0-1-0-N-N-N-CA</t>
  </si>
  <si>
    <t>GX04-RXL-NN-1-0-1-0-N-N-N-CA</t>
  </si>
  <si>
    <t>GX05-R-NN-1-1-0-0-N-N-N-CA</t>
  </si>
  <si>
    <t>GX06-R-DL-1-1-0-0-N-N-N-CA</t>
  </si>
  <si>
    <t>GX06-R-DL-1-1-1-0-N-N-N-CA</t>
  </si>
  <si>
    <t>GX06-R-NN-1-0-0-0-N-N-N-CA</t>
  </si>
  <si>
    <t>GX06-R-NN-1-1-0-0-N-N-N-CA</t>
  </si>
  <si>
    <t>GX06-R-NN-1-1-1-0-N-N-N-CA</t>
  </si>
  <si>
    <t>GX06-R-PL-1-1-0-0-N-N-N-CA</t>
  </si>
  <si>
    <t>GX06-RXL-DL-1-0-1-0-N-N-N-CA</t>
  </si>
  <si>
    <t>GX06-RXL-NN-1-1-0-0-N-N-N-CA</t>
  </si>
  <si>
    <t>GX08-C-DR-1-0-1-0-N-N-N-CA</t>
  </si>
  <si>
    <t>GX08-C-DR-1-1-1-0-N-N-N-CA</t>
  </si>
  <si>
    <t>GX08-C-NN-1-1-1-0-N-N-N-CA</t>
  </si>
  <si>
    <t>GX08-C-NN-0-1-0-1-N-N-N-CA</t>
  </si>
  <si>
    <t>GX08-C-NN-1-0-0-0-N-N-N-CA</t>
  </si>
  <si>
    <t>GX08-C-NN-1-1-0-0-N-N-N-CA</t>
  </si>
  <si>
    <t>GX08-C-NN-1-1-1-1-N-N-N-CA</t>
  </si>
  <si>
    <t>GX08-CXL-NN-1-1-1-0-N-N-N-CA</t>
  </si>
  <si>
    <t>GX08-L-NN-1-1-2-0-N-N-N-CA</t>
  </si>
  <si>
    <t>GX08-R-DL-0-1-0-1-N-N-N-CA</t>
  </si>
  <si>
    <t>GX08-R-DL-0-1-1-1-N-N-N-CA</t>
  </si>
  <si>
    <t>GX08-R-DL-1-0-0-0-N-N-N-CA</t>
  </si>
  <si>
    <t>GX08-R-DL-1-0-1-0-N-N-N-CA</t>
  </si>
  <si>
    <t>GX08-R-DL-1-0-2-0-N-N-N-CA</t>
  </si>
  <si>
    <t>GX08-R-DL-1-1-1-0-N-N-N-CA</t>
  </si>
  <si>
    <t>GX08-R-DR-1-1-1-0-N-N-N-CA</t>
  </si>
  <si>
    <t>GX08-R-NN-1-0-0-0-N-N-N-CA</t>
  </si>
  <si>
    <t>GX08-R-NN-1-1-0-0-N-N-N-CA</t>
  </si>
  <si>
    <t>GX08-R-NN-1-1-1-0-N-N-N-CA</t>
  </si>
  <si>
    <t>GX08-R-PL-1-1-1-0-N-N-N-CA</t>
  </si>
  <si>
    <t>GX08-RXL-DL-0-1-0-1-N-N-N-CA</t>
  </si>
  <si>
    <t>GX08-RXL-DL-0-1-1-0-N-N-N-CA</t>
  </si>
  <si>
    <t>GX08-RXL-DL-0-1-1-1-N-N-N-CA</t>
  </si>
  <si>
    <t>GX08-RXL-DL-1-1-0-1-N-N-N-CA</t>
  </si>
  <si>
    <t>GX08-RXL-DL-1-1-1-0-N-N-N-CA</t>
  </si>
  <si>
    <t>GX08-RXL-DL-1-1-1-1-N-N-N-CA</t>
  </si>
  <si>
    <t>GX08-RXL-NN-0-1-1-0-N-N-N-CA</t>
  </si>
  <si>
    <t>GX08-RXL-NN-0-1-1-1-N-N-N-CA</t>
  </si>
  <si>
    <t>GX08-RXL-NN-1-1-0-1-N-N-N-CA</t>
  </si>
  <si>
    <t>GX08-RXL-NN-1-1-1-0-N-N-N-CA</t>
  </si>
  <si>
    <t>GX08-RXL-NN-1-1-1-1-N-N-N-CA</t>
  </si>
  <si>
    <t>GX09-D-DL-1-0-1-1-N-N-N-CA</t>
  </si>
  <si>
    <t>GX09-D-DL-2-0-0-0-N-N-N-CA</t>
  </si>
  <si>
    <t>GX09-D-NN-2-0-0-0-N-N-N-CA</t>
  </si>
  <si>
    <t>GX09-D-DL-2-0-1-0-N-N-N-CA</t>
  </si>
  <si>
    <t>GX09-D-DL-2-0-2-0-N-N-N-CA</t>
  </si>
  <si>
    <t>GX09-D-NN-0-0-0-2-N-N-N-CA</t>
  </si>
  <si>
    <t>GX09-D-NN-2-0-1-0-N-N-N-CA</t>
  </si>
  <si>
    <t>GX09-D-NN-2-0-2-0-N-N-N-CA</t>
  </si>
  <si>
    <t>GX09-DXL-NN-2-0-2-0-N-N-N-CA</t>
  </si>
  <si>
    <t>GX09-R-DL-1-0-0-0-N-N-N-CA</t>
  </si>
  <si>
    <t>GX09-R-NN-1-0-0-0-N-N-N-CA</t>
  </si>
  <si>
    <t>GX09-R-DL-1-0-1-0-N-N-N-CA</t>
  </si>
  <si>
    <t>GX09-R-DL-1-0-2-0-N-N-N-CA</t>
  </si>
  <si>
    <t>GX09-R-DL-1-1-0-0-N-N-N-CA</t>
  </si>
  <si>
    <t>GX09-R-DL-1-1-1-0-N-N-N-CA</t>
  </si>
  <si>
    <t>GX09-R-DL-1-1-2-0-N-N-N-CA</t>
  </si>
  <si>
    <t>GX09-R-NN-0-0-1-1-N-N-N-CA</t>
  </si>
  <si>
    <t>GX09-R-NN-1-0-1-0-N-N-N-CA</t>
  </si>
  <si>
    <t>GX09-R-NN-1-0-2-0-N-N-N-CA</t>
  </si>
  <si>
    <t>GX09-R-NN-1-1-0-0-N-N-N-CA</t>
  </si>
  <si>
    <t>GX09-R-NN-1-1-1-0-N-N-N-CA</t>
  </si>
  <si>
    <t>GX09-R-NN-1-1-2-0-N-N-N-CA</t>
  </si>
  <si>
    <t>GX09-RXL-NN-0-0-0-1-N-N-N-CA</t>
  </si>
  <si>
    <t>GX09-RXL-NN-1-0-2-0-N-N-N-CA</t>
  </si>
  <si>
    <t>GX09-RXL-PL-0-1-1-1-N-N-N-CA</t>
  </si>
  <si>
    <t>GX09-RXL-PL-0-1-2-1-N-N-N-CA</t>
  </si>
  <si>
    <t>GX09-RXL-PL-1-1-2-0-N-N-N-CA</t>
  </si>
  <si>
    <t>GX10-C-DL-1-1-2-0-N-N-N-CA</t>
  </si>
  <si>
    <t>GX10-C-DR-0-1-1-1-N-N-N-CA</t>
  </si>
  <si>
    <t>GX10-C-DR-1-1-0-0-N-N-N-CA</t>
  </si>
  <si>
    <t>GX10-C-DR-1-1-1-0-N-N-N-CA</t>
  </si>
  <si>
    <t>GX10-C-DR-1-1-2-0-N-N-N-CA</t>
  </si>
  <si>
    <t>GX10-C-NN-1-1-2-0-N-N-N-CA</t>
  </si>
  <si>
    <t>GX10-C-PL-1-0-2-0-N-N-N-CA</t>
  </si>
  <si>
    <t>GX10-C-PR-1-1-2-0-N-N-N-CA</t>
  </si>
  <si>
    <t>GX10-CXL-DL-1-1-2-0-N-N-N-CA</t>
  </si>
  <si>
    <t>GX10-CXL-DR-1-1-2-0-N-N-N-CA</t>
  </si>
  <si>
    <t>GX10-CXL-NN-0-1-1-1-N-N-N-CA</t>
  </si>
  <si>
    <t>GX10-CXL-NN-1-1-2-0-N-N-N-CA</t>
  </si>
  <si>
    <t>GX10-CXL-PR-1-1-2-0-N-N-N-CA</t>
  </si>
  <si>
    <t>GX10-D-DL-1-1-0-1-N-N-N-CA</t>
  </si>
  <si>
    <t>GX10-D-DL-2-1-1-0-N-N-N-CA</t>
  </si>
  <si>
    <t>GX10-D-DR-2-1-1-0-N-N-N-CA</t>
  </si>
  <si>
    <t>GX10-D-NN-2-1-1-0-N-N-N-CA</t>
  </si>
  <si>
    <t>GX10-DXL-NN-1-1-0-1-N-N-N-CA</t>
  </si>
  <si>
    <t>GX10-DXL-NN-2-1-1-0-N-N-N-CA</t>
  </si>
  <si>
    <t>GX10-L-NN-1-1-2-0-N-N-N-CA</t>
  </si>
  <si>
    <t>GX10-R-DL-1-1-2-0-N-N-N-CA</t>
  </si>
  <si>
    <t>GX12-C-DR-1-2-2-0-N-N-N-CA</t>
  </si>
  <si>
    <t>GX12-C-NN-1-2-2-0-N-N-N-CA</t>
  </si>
  <si>
    <t>GX12-D-DL-1-1-1-1-N-N-N-CA</t>
  </si>
  <si>
    <t>GX12-D-DL-2-0-2-0-N-N-N-CA</t>
  </si>
  <si>
    <t>GX12-D-DL-2-1-2-0-N-N-N-CA</t>
  </si>
  <si>
    <t>GX12-D-NN-2-0-0-0-N-N-N-CA</t>
  </si>
  <si>
    <t>GX12-D-NN-2-1-2-0-N-N-N-CA</t>
  </si>
  <si>
    <t>GX12-D-PL-2-1-2-0-N-N-N-CA</t>
  </si>
  <si>
    <t>GX12-DXL-NN-1-1-1-1-N-N-N-CA</t>
  </si>
  <si>
    <t>GX12-DXL-NN-2-1-2-0-N-N-N-CA</t>
  </si>
  <si>
    <t>GX12-L-NN-1-2-0-0-N-N-N-CA</t>
  </si>
  <si>
    <t>GX14-C-DR-1-2-2-0-N-N-N-CA</t>
  </si>
  <si>
    <t>GX14-C-PL-1-0-2-0-N-N-N-CA</t>
  </si>
  <si>
    <t>GX14-CXL-DR-1-2-2-0-N-N-N-CA</t>
  </si>
  <si>
    <t>GX14-CXL-NN-1-1-2-0-N-N-N-CA</t>
  </si>
  <si>
    <t>GX14-D-DL-0-2-0-2-N-N-N-CA</t>
  </si>
  <si>
    <t>GX14-D-DL-2-1-2-0-N-N-N-CA</t>
  </si>
  <si>
    <t>GX14-D-DL-2-2-2-0-N-N-N-CA</t>
  </si>
  <si>
    <t>GX14-D-PL-2-2-2-0-N-N-N-CA</t>
  </si>
  <si>
    <t>GX14-DXL-NN-1-2-2-1-N-N-N-CA</t>
  </si>
  <si>
    <t>GX14-L-NN-1-1-3-0-N-N-N-CA</t>
  </si>
  <si>
    <t>GX14-RXL-NN-1-2-1-1-N-N-N-CA</t>
  </si>
  <si>
    <t>MA08-C-NN-1-0-0-0-Y-Y-Y-CA</t>
  </si>
  <si>
    <t>MA08-N-NN-0-1-0-0-Y-Y-Y-CA</t>
  </si>
  <si>
    <t>MA10-N-NN-0-2-0-0-Y-N-Y-CA</t>
  </si>
  <si>
    <t>MA10-N-NN-0-2-0-0-Y-Y-Y-CA</t>
  </si>
  <si>
    <t>MA12-C-NN-1-2-0-0-Y-Y-Y-CA</t>
  </si>
  <si>
    <t>MA12-D-DL-2-0-1-0-SPO-Y-Y-CA</t>
  </si>
  <si>
    <t>MA12-D-DL-2-0-2-0-SPO-Y-Y-CA</t>
  </si>
  <si>
    <t>MA12-D-NN-2-0-1-0-SPO-Y-Y-CA</t>
  </si>
  <si>
    <t>MA12-DXL-NN-2-0-1-0-SPO-Y-Y-CA</t>
  </si>
  <si>
    <t>MA14-C-NN-1-2-0-0-Y-Y-Y-CA</t>
  </si>
  <si>
    <t>MA14-D-DL-2-0-2-0-SPO-Y-Y-CA</t>
  </si>
  <si>
    <t>MA14-D-DL-2-0-2-0-Y-Y-Y-CA</t>
  </si>
  <si>
    <t>MA14-DXL-NN-2-0-2-0-Y-Y-Y-CA</t>
  </si>
  <si>
    <t>STC8-N-NN-0-1-0-0-Y-N-Y-CA</t>
  </si>
  <si>
    <t>STC8-N-NN-0-1-0-0-Y-Y-Y-CA</t>
  </si>
  <si>
    <t>STC9-C-NN-1-0-0-0-Y-Y-Y-CA</t>
  </si>
  <si>
    <t>STC9-N-NN-0-2-0-0-Y-Y-Y-CA</t>
  </si>
  <si>
    <t>STR9-N-NN-1-0-0-0-N-Y-N-CA</t>
  </si>
  <si>
    <t>STT7-N-NN-1-0-0-0-Y-Y-N-CA</t>
  </si>
  <si>
    <t>STT7-N-NN-1-0-0-0-Y-Y-Y-CA</t>
  </si>
  <si>
    <t>STT9-N-NN-1-0-0-0-Y-Y-Y-CA</t>
  </si>
  <si>
    <t>GX09-RXL-NN-1-1-1-0-N-N-N-CA</t>
  </si>
  <si>
    <t>GX09-DXL-NN-1-0-1-1-N-N-N-CA</t>
  </si>
  <si>
    <t>GX10-CXL-DR-0-1-2-1-N-N-N-CA</t>
  </si>
  <si>
    <t>GX12-CXL-NN-0-2-1-1-N-N-N-CA</t>
  </si>
  <si>
    <t>GX10-CXL-PR-1-1-1-0-N-N-N-CA</t>
  </si>
  <si>
    <t>GX12-C-NN-1-1-2-0-N-N-N-CA</t>
  </si>
  <si>
    <t>GX06-R-DL-0-1-0-1-N-N-N-CA</t>
  </si>
  <si>
    <t>GX12-CXL-DR-1-2-2-0-N-N-N-CA</t>
  </si>
  <si>
    <t>ARB8-L-NN-0-1-0-1-Y-Y-Y-CA</t>
  </si>
  <si>
    <t>ARB8-L-N-N-0-1-0-1-Y-Y-Y-CA</t>
  </si>
  <si>
    <t>GX08-R-NN-1-0-1-0-N-N-N-CA</t>
  </si>
  <si>
    <t>MA12-DXL-NN-2-0-0-0-SPO-Y-Y-CA</t>
  </si>
  <si>
    <t>GX10-L-DR-0-1-1-1-N-N-N-CA</t>
  </si>
  <si>
    <t>EASY-C-NN-1-4-0-0-N-N-N-CA</t>
  </si>
  <si>
    <t>GX12-CXL-NN-1-2-2-0-N-N-N-CA</t>
  </si>
  <si>
    <t>N</t>
  </si>
  <si>
    <t>GX09-RXL-NN-0-1-1-1-N-N-N-CA</t>
  </si>
  <si>
    <t>GX08-C-PR-1-1-1-0-N-N-N-CA</t>
  </si>
  <si>
    <t>GX09-R-DL-0-1-1-1-N-N-N-CA</t>
  </si>
  <si>
    <t>GX12-CXL-NN-0-2-2-1-N-N-N-CA</t>
  </si>
  <si>
    <t>STC8-N-NN-0-1-0-0-N-Y-N-CA</t>
  </si>
  <si>
    <t>GX10-L-NN-1-1-0-0-N-N-N-CA</t>
  </si>
  <si>
    <t>MA12-N-NN-1-2-0-0-Y-Y-Y-CA</t>
  </si>
  <si>
    <t>GX06-R-NN-0-1-1-1-N-N-N-CA</t>
  </si>
  <si>
    <t>MA12-D-DL-2-0-1-0-Y-Y-Y-CA</t>
  </si>
  <si>
    <t>GX08-L-NN-1-1-1-0-N-N-N-CA</t>
  </si>
  <si>
    <t>GX09-RXL-NN-1-1-2-0-N-N-N-CA</t>
  </si>
  <si>
    <t>GX05-R-NN-1-0-1-0-N-N-N-CA</t>
  </si>
  <si>
    <t>GX08-L-DR-1-1-1-0-N-N-N-CA</t>
  </si>
  <si>
    <t>GX08-LXL-NN-1-1-1-0-N-N-N-CA</t>
  </si>
  <si>
    <t>GX14-C-NN-1-1-1-0-N-N-N-CA</t>
  </si>
  <si>
    <t>GX09-R-PL-1-1-2-0-N-N-N-CA</t>
  </si>
  <si>
    <t>STC8-N-NN-0-1-0-0-Y-Y-N-CA</t>
  </si>
  <si>
    <t>GX06-RXL-NN-0-1-0-1-N-N-N-CA</t>
  </si>
  <si>
    <t>GX14-DXL-DL-1-2-2-1-N-N-N-CA</t>
  </si>
  <si>
    <t>MA10-N-NN-0-0-0-0-N-N-Y-CA</t>
  </si>
  <si>
    <t>GX10-R-PL-1-1-2-0-N-N-N-CA</t>
  </si>
  <si>
    <t>GX06-R-NN-0-1-0-1-N-N-N-CA</t>
  </si>
  <si>
    <t>GX09-R-DL-0-0-1-1-N-N-N-CA</t>
  </si>
  <si>
    <t>GX06-R-NN-1-0-1-0-N-N-N-CA</t>
  </si>
  <si>
    <t>GX10-L-DR-1-1-2-0-N-N-N-CA</t>
  </si>
  <si>
    <t>GX10-R-NN-1-1-2-0-N-N-N-CA</t>
  </si>
  <si>
    <t>GX10-CXL-DL-0-1-1-1-N-N-N-CA</t>
  </si>
  <si>
    <t>GX08-L-NN-1-0-0-0-N-N-N-CA</t>
  </si>
  <si>
    <t>GX12-D-NN-1-0-2-1-N-N-N-CA</t>
  </si>
  <si>
    <t>GX12-CXL-NN-1-1-2-0-N-N-N-CA</t>
  </si>
  <si>
    <t>GX14-D-DL-1-2-1-1-N-N-N-CA</t>
  </si>
  <si>
    <t>GX10-CXL-PR-0-1-1-1-N-N-N-CA</t>
  </si>
  <si>
    <t>ARB8-L-NN-1-1-0-0-N-Y-N-CA</t>
  </si>
  <si>
    <t>GX09-RXL-PL-1-1-1-0-N-N-N-CA</t>
  </si>
  <si>
    <t>GX12-CXL-PR-0-2-2-1-N-N-N-CA</t>
  </si>
  <si>
    <t>ARB6-L-NN-1-1-0-0-L-Y-N-CA</t>
  </si>
  <si>
    <t>ARB6-L-NN-1-1-0-0-L-Y-Y-CA</t>
  </si>
  <si>
    <t>ARB8-L-DR-1-1-0-0-L-Y-N-CA</t>
  </si>
  <si>
    <t>ARB8-L-DR-1-1-0-0-L-Y-Y-CA</t>
  </si>
  <si>
    <t>ARB8-L-DR-1-1-1-0-L-Y-N-CA</t>
  </si>
  <si>
    <t>ARB8-L-DR-1-1-1-0-L-Y-Y-CA</t>
  </si>
  <si>
    <t>ARB8-L-NN-1-1-0-0-L-N-Y-CA</t>
  </si>
  <si>
    <t>ARB8-L-NN-1-1-0-0-L-Y-N-CA</t>
  </si>
  <si>
    <t>ARB8-L-NN-1-1-0-0-L-Y-Y-CA</t>
  </si>
  <si>
    <t>ARB8-L-NN-1-1-1-0-L-Y-N-CA</t>
  </si>
  <si>
    <t>ARB8-L-NN-1-1-1-0-L-Y-Y-CA</t>
  </si>
  <si>
    <t>ARB8-LXL-NN-1-1-1-0-L-Y-N-CA</t>
  </si>
  <si>
    <t>MA08-C-NN-1-0-0-0-L-Y-Y-CA</t>
  </si>
  <si>
    <t>MA08-N-NN-0-1-0-0-L-Y-Y-CA</t>
  </si>
  <si>
    <t>MA10-N-NN-0-2-0-0-L-N-Y-CA</t>
  </si>
  <si>
    <t>MA10-N-NN-0-2-0-0-L-Y-Y-CA</t>
  </si>
  <si>
    <t>MA12-C-NN-1-2-0-0-L-Y-Y-CA</t>
  </si>
  <si>
    <t>MA12-D-DL-2-0-1-0-LSPO-Y-Y-CA</t>
  </si>
  <si>
    <t>MA12-D-DL-2-0-2-0-LSPO-Y-Y-CA</t>
  </si>
  <si>
    <t>MA12-D-NN-2-0-1-0-LSPO-Y-Y-CA</t>
  </si>
  <si>
    <t>MA12-DXL-NN-2-0-1-0-LSPO-Y-Y-CA</t>
  </si>
  <si>
    <t>MA14-C-NN-1-2-0-0-L-Y-Y-CA</t>
  </si>
  <si>
    <t>MA14-D-DL-2-0-2-0-LSPO-Y-Y-CA</t>
  </si>
  <si>
    <t>MA14-D-DL-2-0-2-0-L-Y-Y-CA</t>
  </si>
  <si>
    <t>MA14-DXL-NN-2-0-2-0-L-Y-Y-CA</t>
  </si>
  <si>
    <t>STC8-N-NN-0-1-0-0-L-N-Y-CA</t>
  </si>
  <si>
    <t>STC8-N-NN-0-1-0-0-L-Y-Y-CA</t>
  </si>
  <si>
    <t>STC9-C-NN-1-0-0-0-L-Y-Y-CA</t>
  </si>
  <si>
    <t>STC9-N-NN-0-2-0-0-L-Y-Y-CA</t>
  </si>
  <si>
    <t>STT7-N-NN-1-0-0-0-L-Y-N-CA</t>
  </si>
  <si>
    <t>STT7-N-NN-1-0-0-0-L-Y-Y-CA</t>
  </si>
  <si>
    <t>STT9-N-NN-1-0-0-0-L-Y-Y-CA</t>
  </si>
  <si>
    <t>ARB8-L-NN-0-1-0-1-L-Y-Y-CA</t>
  </si>
  <si>
    <t>MA12-DXL-NN-2-0-0-0-LSPO-Y-Y-CA</t>
  </si>
  <si>
    <t>MA12-N-NN-1-2-0-0-L-Y-Y-CA</t>
  </si>
  <si>
    <t>MA12-D-DL-2-0-1-0-L-Y-Y-CA</t>
  </si>
  <si>
    <t>STC8-N-NN-0-1-0-0-L-Y-N-CA</t>
  </si>
  <si>
    <t>STT7-N-NN-1-0-0-0-N-N-N-CA</t>
  </si>
  <si>
    <t>GX12-DXL-NN-1-1-2-1-N-N-N-CA</t>
  </si>
  <si>
    <t>ARB8-L-DR-0-1-0-1-L-Y-Y-CA</t>
  </si>
  <si>
    <t>GX14-DXL-NN-2-2-2-0-N-N-N-CA</t>
  </si>
  <si>
    <t>GX08-C-NN-1-0-1-0-N-N-N-CA</t>
  </si>
  <si>
    <t>GX14-D-NN-2-2-2-0-N-N-N-CA</t>
  </si>
  <si>
    <t>MA12-D-DL-1-0-0-1-SPO-Y-Y-CA</t>
  </si>
  <si>
    <t>ARB8-L-DR-0-1-0-1-Y-Y-N-CA</t>
  </si>
  <si>
    <t>GX06-RXL-NN-1-1-1-0-N-N-N-CA</t>
  </si>
  <si>
    <t>GX12-RXL-DL-1-1-2-0-N-N-N-CA</t>
  </si>
  <si>
    <t>GX08-N-NN-1-1-1-0-N-N-N-CA</t>
  </si>
  <si>
    <t>GX08-LXL-DR-1-1-1-0-N-N-N-CA</t>
  </si>
  <si>
    <t>GX05-R-NN-1-0-0-0-N-N-N-CA</t>
  </si>
  <si>
    <t>GX10-D-DL-D2-1-1-0-N-N-N-CA</t>
  </si>
  <si>
    <t>GX08-RXL-NN-D1-1-1-0-N-N-N-CA</t>
  </si>
  <si>
    <t>STT7-N-NN-1-0-0-0-N-Y-N-CA</t>
  </si>
  <si>
    <t>GX10-D-PL-2-1-1-0-N-N-N-CA</t>
  </si>
  <si>
    <t>ARB8-LXL-NN-0-1-0-1-Y-Y-Y-CA</t>
  </si>
  <si>
    <t>STT9-N-NN-1-0-0-0-N-N-Y-CA</t>
  </si>
  <si>
    <t>GX10-CXL-PL-0-1-1-1-N-N-N-CA</t>
  </si>
  <si>
    <t>GX14-L-NN-1-1-2-0-N-N-N-CA</t>
  </si>
  <si>
    <t>GX10-D-DL-2-0-1-0-N-N-N-CA</t>
  </si>
  <si>
    <t>GX09-D-PL-2-0-1-0-N-N-N-CA</t>
  </si>
  <si>
    <t>GX10-C-NN-1-2-0-0-N-N-N-CA</t>
  </si>
  <si>
    <t>STT9-N-NN-1-0-0-0-Y-Y-N-CA</t>
  </si>
  <si>
    <t>GX05-CXL-NN-1-0-0-0-N-N-N-CA</t>
  </si>
  <si>
    <t>GX05-N-NN-0-1-1-0-N-N-N-CA</t>
  </si>
  <si>
    <t>MA12-C-NN-D1-2-0-0-L-Y-Y-CA</t>
  </si>
  <si>
    <t>STT7-N-NN-1-0-0-0-N-Y-Y-CA</t>
  </si>
  <si>
    <t>GX09-R-PL-1-0-2-0-N-N-N-CA</t>
  </si>
  <si>
    <t>GX05-R-DL-1-0-0-0-N-N-N-CA</t>
  </si>
  <si>
    <t>GX09-L-NN-1-1-1-0-N-N-N-CA</t>
  </si>
  <si>
    <t>GX09-R-PL-1-1-1-0-N-N-N-CA</t>
  </si>
  <si>
    <t>GX09-C-DR-1-1-1-0-N-N-N-CA</t>
  </si>
  <si>
    <t>GX10-L-NN-1-1-1-0-N-N-N-CA</t>
  </si>
  <si>
    <t>GX14-R-DL-1-2-2-0-N-N-N-CA</t>
  </si>
  <si>
    <t>GX09-C-NN-1-1-1-0-N-N-N-CA</t>
  </si>
  <si>
    <t>ARB8-R-NN-1-1-0-0-Y-Y-N-CA</t>
  </si>
  <si>
    <t>GX06-R-DL-1-0-0-0-N-N-N-CA</t>
  </si>
  <si>
    <t>GX09-R-PL-1-1-0-0-N-N-N-CA</t>
  </si>
  <si>
    <t>GX09-RXL-DL-1-1-0-0-N-N-N-CA</t>
  </si>
  <si>
    <t>GX09-L-DR-1-1-1-0-N-N-N-CA</t>
  </si>
  <si>
    <t>MA10-N-NN-0-2-0-0-L-Y-N-CA</t>
  </si>
  <si>
    <t>GX10-RXL-DL-1-1-0-0-N-N-N-CA</t>
  </si>
  <si>
    <t>GX12-C-DR-0-2-1-1-N-N-N-CA</t>
  </si>
  <si>
    <t>GX09-R-NN-0-1-1-1-N-N-N-CA</t>
  </si>
  <si>
    <t>STT9-N-NN-1-0-0-0-L-Y-N-CA</t>
  </si>
  <si>
    <t>GX10-LXL-DR-D1-1-2-0-N-N-N-CA</t>
  </si>
  <si>
    <t>GX10-D-PL-D2-1-1-0-N-N-N-CA</t>
  </si>
  <si>
    <t>GX09-L-PR-1-1-1-0-N-N-N-CA</t>
  </si>
  <si>
    <t>GX08-C-NN-D1-1-1-0-N-N-N-CA</t>
  </si>
  <si>
    <t>GX06-R-NN-D1-1-1-0-N-N-N-CA</t>
  </si>
  <si>
    <t>ARB8-L-PR-1-1-0-0-Y-Y-N-CA</t>
  </si>
  <si>
    <t>GX12-D-DL-D2-1-2-0-N-N-N-CA</t>
  </si>
  <si>
    <t>GX08-C-DR-D1-1-1-0-N-N-N-CA</t>
  </si>
  <si>
    <t>GX10-C-PR-1-1-1-0-N-N-N-CA</t>
  </si>
  <si>
    <t>GX06-R-DL-D1-1-1-0-N-N-N-CA</t>
  </si>
  <si>
    <t>GX08-L-PR-1-1-1-0-N-N-N-CA</t>
  </si>
  <si>
    <t>GX14-CXL-DR-D1-2-2-0-N-N-N-CA</t>
  </si>
  <si>
    <t>ARB8-L-DR-D1-1-1-0-Y-Y-Y-CA</t>
  </si>
  <si>
    <t>GX10-RXL-NN-1-1-2-0-N-N-N-CA</t>
  </si>
  <si>
    <t>PRT9-N-NN-0-2-0-0-N-Y-Y-CA</t>
  </si>
  <si>
    <t>GX10-C-NN-1-1-1-0-N-N-N-CA</t>
  </si>
  <si>
    <t>GX10-R-DL-D1-1-2-0-N-N-N-CA</t>
  </si>
  <si>
    <t>GX08-L-NN-D1-1-1-0-N-N-N-CA</t>
  </si>
  <si>
    <t>GX09-C-DR-1-1-2-0-N-N-N-CA</t>
  </si>
  <si>
    <t>GX10-D-NN-D1-1-0-1-N-N-N-CA</t>
  </si>
  <si>
    <t>ARB6-L-DR-1-0-0-0-N-Y-N-CA</t>
  </si>
  <si>
    <t>GX06-L-DL-1-1-0-0-N-N-N-CA</t>
  </si>
  <si>
    <t>PRT7-N-NN-0-1-0-0-Y-Y-Y-CA</t>
  </si>
  <si>
    <t>Y</t>
  </si>
  <si>
    <t>ARB8-L-NN-D1-1-1-0-Y-Y-Y-CA</t>
  </si>
  <si>
    <t>PRT7-N-NN-0-1-0-0-Y-Y-N-CA</t>
  </si>
  <si>
    <t>PRT9-N-NN-0-2-0-0-Y-Y-Y-CA</t>
  </si>
  <si>
    <t>GX06-L-DR-1-1-0-0-N-N-N-CA</t>
  </si>
  <si>
    <t>ARB6-L-DR-1-1-0-0-N-Y-N-CA</t>
  </si>
  <si>
    <t>GX09-L-DR-1-1-2-0-N-N-N-CA</t>
  </si>
  <si>
    <t>GX10-DXL-NN-1-1-1-1-N-N-N-CA</t>
  </si>
  <si>
    <t>ARB8-L-PR-1-1-1-0-Y-Y-N-CA</t>
  </si>
  <si>
    <t>GX10-CXL-PR-D1-1-2-0-N-N-N-CA</t>
  </si>
  <si>
    <t>GX10-R-PL-D1-1-2-0-N-N-N-CA</t>
  </si>
  <si>
    <t>PRT9-N-NN-0-2-0-0-L-Y-Y-CA</t>
  </si>
  <si>
    <t>ARB8-LXL-NN-1-1-0-0-Y-Y-N-CA</t>
  </si>
  <si>
    <t>GX06-R-DL-1-0-1-0-N-N-N-CA</t>
  </si>
  <si>
    <t>GX12-CXL-DR-0-2-2-1-N-N-N-CA</t>
  </si>
  <si>
    <t>GX09-D-NN-1-0-1-1-N-N-N-CA</t>
  </si>
  <si>
    <t>GX09-L-PR-1-1-2-0-N-N-N-CA</t>
  </si>
  <si>
    <t>GX12-D-PL-1-1-1-1-N-N-N-CA</t>
  </si>
  <si>
    <t>GX14-D-PL-1-2-1-1-N-N-N-CA</t>
  </si>
  <si>
    <t>MA12-CXL-NN-1-2-1-0-L-Y-Y-CA</t>
  </si>
  <si>
    <t>GX12-LXL-PR-0-1-2-1-N-N-N-CA</t>
  </si>
  <si>
    <t>GX09-L-DR-D1-1-2-0-N-N-N-CA</t>
  </si>
  <si>
    <t>26FIREPIT-N-NN-1-0-0-0-N-N-N-BR</t>
  </si>
  <si>
    <t>ARB6-L-NN-1-1-0-0-N-Y-N-BR</t>
  </si>
  <si>
    <t>ARB6-L-NN-1-1-0-0-N-Y-Y-BR</t>
  </si>
  <si>
    <t>ARB6-L-NN-1-1-0-0-Y-Y-N-BR</t>
  </si>
  <si>
    <t>ARB6-L-NN-1-1-0-0-Y-Y-Y-BR</t>
  </si>
  <si>
    <t>ARB6-L-NN-1-1-1-0-N-Y-Y-BR</t>
  </si>
  <si>
    <t>ARB8-L-DR-1-1-0-0-Y-Y-N-BR</t>
  </si>
  <si>
    <t>ARB8-L-NN-1-1-0-0-Y-Y-N-BR</t>
  </si>
  <si>
    <t>ARB8-L-DR-1-1-0-0-Y-Y-Y-BR</t>
  </si>
  <si>
    <t>ARB8-L-NN-1-1-0-0-Y-Y-Y-BR</t>
  </si>
  <si>
    <t>ARB8-L-DR-1-1-1-0-Y-Y-N-BR</t>
  </si>
  <si>
    <t>ARB8-L-DR-1-1-1-0-Y-Y-Y-BR</t>
  </si>
  <si>
    <t>ARB8-L-NN-1-1-0-0-Y-N-Y-BR</t>
  </si>
  <si>
    <t>ARB8-L-NN-1-1-1-0-Y-Y-N-BR</t>
  </si>
  <si>
    <t>ARB8-L-NN-1-1-1-0-Y-Y-Y-BR</t>
  </si>
  <si>
    <t>ARB8-LXL-NN-1-1-1-0-Y-Y-N-BR</t>
  </si>
  <si>
    <t>FIREPIT-N-NN-0-0-0-0-N-N-N-BR</t>
  </si>
  <si>
    <t>GX03-C-NN-1-0-0-0-N-N-N-BR</t>
  </si>
  <si>
    <t>GX04-R-DL-0-0-0-1-N-N-N-BR</t>
  </si>
  <si>
    <t>GX04-R-DL-1-0-0-0-N-N-N-BR</t>
  </si>
  <si>
    <t>GX04-R-NN-1-0-0-0-N-N-N-BR</t>
  </si>
  <si>
    <t>GX04-R-DL-1-0-1-0-N-N-N-BR</t>
  </si>
  <si>
    <t>GX04-R-NN-1-0-1-0-N-N-N-BR</t>
  </si>
  <si>
    <t>GX04-RXL-NN-1-0-1-0-N-N-N-BR</t>
  </si>
  <si>
    <t>GX05-R-NN-1-1-0-0-N-N-N-BR</t>
  </si>
  <si>
    <t>GX06-R-DL-1-1-0-0-N-N-N-BR</t>
  </si>
  <si>
    <t>GX06-R-DL-1-1-1-0-N-N-N-BR</t>
  </si>
  <si>
    <t>GX06-R-NN-1-0-0-0-N-N-N-BR</t>
  </si>
  <si>
    <t>GX06-R-NN-1-1-0-0-N-N-N-BR</t>
  </si>
  <si>
    <t>GX06-R-NN-1-1-1-0-N-N-N-BR</t>
  </si>
  <si>
    <t>GX06-R-PL-1-1-0-0-N-N-N-BR</t>
  </si>
  <si>
    <t>GX06-RXL-DL-1-0-1-0-N-N-N-BR</t>
  </si>
  <si>
    <t>GX06-RXL-NN-1-1-0-0-N-N-N-BR</t>
  </si>
  <si>
    <t>GX08-C-DR-1-0-1-0-N-N-N-BR</t>
  </si>
  <si>
    <t>GX08-C-DR-1-1-1-0-N-N-N-BR</t>
  </si>
  <si>
    <t>GX08-C-NN-1-1-1-0-N-N-N-BR</t>
  </si>
  <si>
    <t>GX08-C-NN-0-1-0-1-N-N-N-BR</t>
  </si>
  <si>
    <t>GX08-C-NN-1-0-0-0-N-N-N-BR</t>
  </si>
  <si>
    <t>GX08-C-NN-1-1-0-0-N-N-N-BR</t>
  </si>
  <si>
    <t>GX08-C-NN-1-1-1-1-N-N-N-BR</t>
  </si>
  <si>
    <t>GX08-CXL-NN-1-1-1-0-N-N-N-BR</t>
  </si>
  <si>
    <t>GX08-L-NN-1-1-2-0-N-N-N-BR</t>
  </si>
  <si>
    <t>GX08-R-DL-0-1-0-1-N-N-N-BR</t>
  </si>
  <si>
    <t>GX08-R-DL-0-1-1-1-N-N-N-BR</t>
  </si>
  <si>
    <t>GX08-R-DL-1-0-0-0-N-N-N-BR</t>
  </si>
  <si>
    <t>GX08-R-DL-1-0-1-0-N-N-N-BR</t>
  </si>
  <si>
    <t>GX08-R-DL-1-0-2-0-N-N-N-BR</t>
  </si>
  <si>
    <t>GX08-R-DL-1-1-1-0-N-N-N-BR</t>
  </si>
  <si>
    <t>GX08-R-DR-1-1-1-0-N-N-N-BR</t>
  </si>
  <si>
    <t>GX08-R-NN-1-0-0-0-N-N-N-BR</t>
  </si>
  <si>
    <t>GX08-R-NN-1-1-0-0-N-N-N-BR</t>
  </si>
  <si>
    <t>GX08-R-NN-1-1-1-0-N-N-N-BR</t>
  </si>
  <si>
    <t>GX08-R-PL-1-1-1-0-N-N-N-BR</t>
  </si>
  <si>
    <t>GX08-RXL-DL-0-1-0-1-N-N-N-BR</t>
  </si>
  <si>
    <t>GX08-RXL-DL-0-1-1-0-N-N-N-BR</t>
  </si>
  <si>
    <t>GX08-RXL-DL-0-1-1-1-N-N-N-BR</t>
  </si>
  <si>
    <t>GX08-RXL-DL-1-1-0-1-N-N-N-BR</t>
  </si>
  <si>
    <t>GX08-RXL-DL-1-1-1-0-N-N-N-BR</t>
  </si>
  <si>
    <t>GX08-RXL-DL-1-1-1-1-N-N-N-BR</t>
  </si>
  <si>
    <t>GX08-RXL-NN-0-1-1-0-N-N-N-BR</t>
  </si>
  <si>
    <t>GX08-RXL-NN-0-1-1-1-N-N-N-BR</t>
  </si>
  <si>
    <t>GX08-RXL-NN-1-1-0-1-N-N-N-BR</t>
  </si>
  <si>
    <t>GX08-RXL-NN-1-1-1-0-N-N-N-BR</t>
  </si>
  <si>
    <t>GX08-RXL-NN-1-1-1-1-N-N-N-BR</t>
  </si>
  <si>
    <t>GX09-D-DL-1-0-1-1-N-N-N-BR</t>
  </si>
  <si>
    <t>GX09-D-DL-2-0-0-0-N-N-N-BR</t>
  </si>
  <si>
    <t>GX09-D-NN-2-0-0-0-N-N-N-BR</t>
  </si>
  <si>
    <t>GX09-D-DL-2-0-1-0-N-N-N-BR</t>
  </si>
  <si>
    <t>GX09-D-DL-2-0-2-0-N-N-N-BR</t>
  </si>
  <si>
    <t>GX09-D-NN-0-0-0-2-N-N-N-BR</t>
  </si>
  <si>
    <t>GX09-D-NN-2-0-1-0-N-N-N-BR</t>
  </si>
  <si>
    <t>GX09-D-NN-2-0-2-0-N-N-N-BR</t>
  </si>
  <si>
    <t>GX09-DXL-NN-2-0-2-0-N-N-N-BR</t>
  </si>
  <si>
    <t>GX09-R-DL-1-0-0-0-N-N-N-BR</t>
  </si>
  <si>
    <t>GX09-R-NN-1-0-0-0-N-N-N-BR</t>
  </si>
  <si>
    <t>GX09-R-DL-1-0-1-0-N-N-N-BR</t>
  </si>
  <si>
    <t>GX09-R-DL-1-0-2-0-N-N-N-BR</t>
  </si>
  <si>
    <t>GX09-R-DL-1-1-0-0-N-N-N-BR</t>
  </si>
  <si>
    <t>GX09-R-DL-1-1-1-0-N-N-N-BR</t>
  </si>
  <si>
    <t>GX09-R-DL-1-1-2-0-N-N-N-BR</t>
  </si>
  <si>
    <t>GX09-R-NN-0-0-1-1-N-N-N-BR</t>
  </si>
  <si>
    <t>GX09-R-NN-1-0-1-0-N-N-N-BR</t>
  </si>
  <si>
    <t>GX09-R-NN-1-0-2-0-N-N-N-BR</t>
  </si>
  <si>
    <t>GX09-R-NN-1-1-0-0-N-N-N-BR</t>
  </si>
  <si>
    <t>GX09-R-NN-1-1-1-0-N-N-N-BR</t>
  </si>
  <si>
    <t>GX09-R-NN-1-1-2-0-N-N-N-BR</t>
  </si>
  <si>
    <t>GX09-RXL-NN-0-0-0-1-N-N-N-BR</t>
  </si>
  <si>
    <t>GX09-RXL-NN-1-0-2-0-N-N-N-BR</t>
  </si>
  <si>
    <t>GX09-RXL-PL-0-1-1-1-N-N-N-BR</t>
  </si>
  <si>
    <t>GX09-RXL-PL-0-1-2-1-N-N-N-BR</t>
  </si>
  <si>
    <t>GX09-RXL-PL-1-1-2-0-N-N-N-BR</t>
  </si>
  <si>
    <t>GX10-C-DL-1-1-2-0-N-N-N-BR</t>
  </si>
  <si>
    <t>GX10-C-DR-0-1-1-1-N-N-N-BR</t>
  </si>
  <si>
    <t>GX10-C-DR-1-1-0-0-N-N-N-BR</t>
  </si>
  <si>
    <t>GX10-C-DR-1-1-1-0-N-N-N-BR</t>
  </si>
  <si>
    <t>GX10-C-DR-1-1-2-0-N-N-N-BR</t>
  </si>
  <si>
    <t>GX10-C-NN-1-1-2-0-N-N-N-BR</t>
  </si>
  <si>
    <t>GX10-C-PL-1-0-2-0-N-N-N-BR</t>
  </si>
  <si>
    <t>GX10-C-PR-1-1-2-0-N-N-N-BR</t>
  </si>
  <si>
    <t>GX10-CXL-DL-1-1-2-0-N-N-N-BR</t>
  </si>
  <si>
    <t>GX10-CXL-DR-1-1-2-0-N-N-N-BR</t>
  </si>
  <si>
    <t>GX10-CXL-NN-0-1-1-1-N-N-N-BR</t>
  </si>
  <si>
    <t>GX10-CXL-NN-1-1-2-0-N-N-N-BR</t>
  </si>
  <si>
    <t>GX10-CXL-PR-1-1-2-0-N-N-N-BR</t>
  </si>
  <si>
    <t>GX10-D-DL-1-1-0-1-N-N-N-BR</t>
  </si>
  <si>
    <t>GX10-D-DL-2-1-1-0-N-N-N-BR</t>
  </si>
  <si>
    <t>GX10-D-DR-2-1-1-0-N-N-N-BR</t>
  </si>
  <si>
    <t>GX10-D-NN-2-1-1-0-N-N-N-BR</t>
  </si>
  <si>
    <t>GX10-DXL-NN-1-1-0-1-N-N-N-BR</t>
  </si>
  <si>
    <t>GX10-DXL-NN-2-1-1-0-N-N-N-BR</t>
  </si>
  <si>
    <t>GX10-L-NN-1-1-2-0-N-N-N-BR</t>
  </si>
  <si>
    <t>GX10-R-DL-1-1-2-0-N-N-N-BR</t>
  </si>
  <si>
    <t>GX12-C-DR-1-2-2-0-N-N-N-BR</t>
  </si>
  <si>
    <t>GX12-C-NN-1-2-2-0-N-N-N-BR</t>
  </si>
  <si>
    <t>GX12-D-DL-1-1-1-1-N-N-N-BR</t>
  </si>
  <si>
    <t>GX12-D-DL-2-0-2-0-N-N-N-BR</t>
  </si>
  <si>
    <t>GX12-D-DL-2-1-2-0-N-N-N-BR</t>
  </si>
  <si>
    <t>GX12-D-NN-2-0-0-0-N-N-N-BR</t>
  </si>
  <si>
    <t>GX12-D-NN-2-1-2-0-N-N-N-BR</t>
  </si>
  <si>
    <t>GX12-D-PL-2-1-2-0-N-N-N-BR</t>
  </si>
  <si>
    <t>GX12-DXL-NN-1-1-1-1-N-N-N-BR</t>
  </si>
  <si>
    <t>GX12-DXL-NN-2-1-2-0-N-N-N-BR</t>
  </si>
  <si>
    <t>GX12-L-NN-1-2-0-0-N-N-N-BR</t>
  </si>
  <si>
    <t>GX14-C-DR-1-2-2-0-N-N-N-BR</t>
  </si>
  <si>
    <t>GX14-C-PL-1-0-2-0-N-N-N-BR</t>
  </si>
  <si>
    <t>GX14-CXL-DR-1-2-2-0-N-N-N-BR</t>
  </si>
  <si>
    <t>GX14-CXL-NN-1-1-2-0-N-N-N-BR</t>
  </si>
  <si>
    <t>GX14-D-DL-0-2-0-2-N-N-N-BR</t>
  </si>
  <si>
    <t>GX14-D-DL-2-1-2-0-N-N-N-BR</t>
  </si>
  <si>
    <t>GX14-D-DL-2-2-2-0-N-N-N-BR</t>
  </si>
  <si>
    <t>GX14-D-PL-2-2-2-0-N-N-N-BR</t>
  </si>
  <si>
    <t>GX14-DXL-NN-1-2-2-1-N-N-N-BR</t>
  </si>
  <si>
    <t>GX14-L-NN-1-1-3-0-N-N-N-BR</t>
  </si>
  <si>
    <t>GX14-RXL-NN-1-2-1-1-N-N-N-BR</t>
  </si>
  <si>
    <t>MA08-C-NN-1-0-0-0-Y-Y-Y-BR</t>
  </si>
  <si>
    <t>MA08-N-NN-0-1-0-0-Y-Y-Y-BR</t>
  </si>
  <si>
    <t>MA10-N-NN-0-2-0-0-Y-N-Y-BR</t>
  </si>
  <si>
    <t>MA10-N-NN-0-2-0-0-Y-Y-Y-BR</t>
  </si>
  <si>
    <t>MA12-C-NN-1-2-0-0-Y-Y-Y-BR</t>
  </si>
  <si>
    <t>MA12-D-DL-2-0-1-0-SPO-Y-Y-BR</t>
  </si>
  <si>
    <t>MA12-D-DL-2-0-2-0-SPO-Y-Y-BR</t>
  </si>
  <si>
    <t>MA12-D-NN-2-0-1-0-SPO-Y-Y-BR</t>
  </si>
  <si>
    <t>MA12-DXL-NN-2-0-1-0-SPO-Y-Y-BR</t>
  </si>
  <si>
    <t>MA14-C-NN-1-2-0-0-Y-Y-Y-BR</t>
  </si>
  <si>
    <t>MA14-D-DL-2-0-2-0-SPO-Y-Y-BR</t>
  </si>
  <si>
    <t>MA14-D-DL-2-0-2-0-Y-Y-Y-BR</t>
  </si>
  <si>
    <t>MA14-DXL-NN-2-0-2-0-Y-Y-Y-BR</t>
  </si>
  <si>
    <t>STC8-N-NN-0-1-0-0-Y-N-Y-BR</t>
  </si>
  <si>
    <t>STC8-N-NN-0-1-0-0-Y-Y-Y-BR</t>
  </si>
  <si>
    <t>STC9-C-NN-1-0-0-0-Y-Y-Y-BR</t>
  </si>
  <si>
    <t>STC9-N-NN-0-2-0-0-Y-Y-Y-BR</t>
  </si>
  <si>
    <t>STR9-N-NN-1-0-0-0-N-Y-N-BR</t>
  </si>
  <si>
    <t>STT7-N-NN-1-0-0-0-Y-Y-N-BR</t>
  </si>
  <si>
    <t>STT7-N-NN-1-0-0-0-Y-Y-Y-BR</t>
  </si>
  <si>
    <t>STT9-N-NN-1-0-0-0-Y-Y-Y-BR</t>
  </si>
  <si>
    <t>GX09-RXL-NN-1-1-1-0-N-N-N-BR</t>
  </si>
  <si>
    <t>GX09-DXL-NN-1-0-1-1-N-N-N-BR</t>
  </si>
  <si>
    <t>GX10-CXL-DR-0-1-2-1-N-N-N-BR</t>
  </si>
  <si>
    <t>GX12-CXL-NN-0-2-1-1-N-N-N-BR</t>
  </si>
  <si>
    <t>GX10-CXL-PR-1-1-1-0-N-N-N-BR</t>
  </si>
  <si>
    <t>GX12-C-NN-1-1-2-0-N-N-N-BR</t>
  </si>
  <si>
    <t>GX06-R-DL-0-1-0-1-N-N-N-BR</t>
  </si>
  <si>
    <t>GX12-CXL-DR-1-2-2-0-N-N-N-BR</t>
  </si>
  <si>
    <t>ARB8-L-NN-0-1-0-1-Y-Y-Y-BR</t>
  </si>
  <si>
    <t>ARB8-L-N-N-0-1-0-1-Y-Y-Y-BR</t>
  </si>
  <si>
    <t>GX08-R-NN-1-0-1-0-N-N-N-BR</t>
  </si>
  <si>
    <t>MA12-DXL-NN-2-0-0-0-SPO-Y-Y-BR</t>
  </si>
  <si>
    <t>GX10-L-DR-0-1-1-1-N-N-N-BR</t>
  </si>
  <si>
    <t>EASY-C-NN-1-4-0-0-N-N-N-BR</t>
  </si>
  <si>
    <t>GX12-CXL-NN-1-2-2-0-N-N-N-BR</t>
  </si>
  <si>
    <t>GX09-RXL-NN-0-1-1-1-N-N-N-BR</t>
  </si>
  <si>
    <t>GX08-C-PR-1-1-1-0-N-N-N-BR</t>
  </si>
  <si>
    <t>GX09-R-DL-0-1-1-1-N-N-N-BR</t>
  </si>
  <si>
    <t>GX12-CXL-NN-0-2-2-1-N-N-N-BR</t>
  </si>
  <si>
    <t>STC8-N-NN-0-1-0-0-N-Y-N-BR</t>
  </si>
  <si>
    <t>GX10-L-NN-1-1-0-0-N-N-N-BR</t>
  </si>
  <si>
    <t>MA12-N-NN-1-2-0-0-Y-Y-Y-BR</t>
  </si>
  <si>
    <t>GX06-R-NN-0-1-1-1-N-N-N-BR</t>
  </si>
  <si>
    <t>MA12-D-DL-2-0-1-0-Y-Y-Y-BR</t>
  </si>
  <si>
    <t>GX08-L-NN-1-1-1-0-N-N-N-BR</t>
  </si>
  <si>
    <t>GX09-RXL-NN-1-1-2-0-N-N-N-BR</t>
  </si>
  <si>
    <t>GX05-R-NN-1-0-1-0-N-N-N-BR</t>
  </si>
  <si>
    <t>GX08-L-DR-1-1-1-0-N-N-N-BR</t>
  </si>
  <si>
    <t>GX08-LXL-NN-1-1-1-0-N-N-N-BR</t>
  </si>
  <si>
    <t>GX14-C-NN-1-1-1-0-N-N-N-BR</t>
  </si>
  <si>
    <t>GX09-R-PL-1-1-2-0-N-N-N-BR</t>
  </si>
  <si>
    <t>STC8-N-NN-0-1-0-0-Y-Y-N-BR</t>
  </si>
  <si>
    <t>GX06-RXL-NN-0-1-0-1-N-N-N-BR</t>
  </si>
  <si>
    <t>GX14-DXL-DL-1-2-2-1-N-N-N-BR</t>
  </si>
  <si>
    <t>MA10-N-NN-0-0-0-0-N-N-Y-BR</t>
  </si>
  <si>
    <t>GX10-R-PL-1-1-2-0-N-N-N-BR</t>
  </si>
  <si>
    <t>GX06-R-NN-0-1-0-1-N-N-N-BR</t>
  </si>
  <si>
    <t>GX09-R-DL-0-0-1-1-N-N-N-BR</t>
  </si>
  <si>
    <t>GX06-R-NN-1-0-1-0-N-N-N-BR</t>
  </si>
  <si>
    <t>GX10-L-DR-1-1-2-0-N-N-N-BR</t>
  </si>
  <si>
    <t>GX10-R-NN-1-1-2-0-N-N-N-BR</t>
  </si>
  <si>
    <t>GX10-CXL-DL-0-1-1-1-N-N-N-BR</t>
  </si>
  <si>
    <t>GX08-L-NN-1-0-0-0-N-N-N-BR</t>
  </si>
  <si>
    <t>GX12-D-NN-1-0-2-1-N-N-N-BR</t>
  </si>
  <si>
    <t>GX12-CXL-NN-1-1-2-0-N-N-N-BR</t>
  </si>
  <si>
    <t>GX14-D-DL-1-2-1-1-N-N-N-BR</t>
  </si>
  <si>
    <t>GX10-CXL-PR-0-1-1-1-N-N-N-BR</t>
  </si>
  <si>
    <t>ARB8-L-NN-1-1-0-0-N-Y-N-BR</t>
  </si>
  <si>
    <t>GX09-RXL-PL-1-1-1-0-N-N-N-BR</t>
  </si>
  <si>
    <t>GX12-CXL-PR-0-2-2-1-N-N-N-BR</t>
  </si>
  <si>
    <t>ARB6-L-NN-1-1-0-0-L-Y-N-BR</t>
  </si>
  <si>
    <t>ARB6-L-NN-1-1-0-0-L-Y-Y-BR</t>
  </si>
  <si>
    <t>ARB8-L-DR-1-1-0-0-L-Y-N-BR</t>
  </si>
  <si>
    <t>ARB8-L-DR-1-1-0-0-L-Y-Y-BR</t>
  </si>
  <si>
    <t>ARB8-L-DR-1-1-1-0-L-Y-N-BR</t>
  </si>
  <si>
    <t>ARB8-L-DR-1-1-1-0-L-Y-Y-BR</t>
  </si>
  <si>
    <t>ARB8-L-NN-1-1-0-0-L-N-Y-BR</t>
  </si>
  <si>
    <t>ARB8-L-NN-1-1-0-0-L-Y-N-BR</t>
  </si>
  <si>
    <t>ARB8-L-NN-1-1-0-0-L-Y-Y-BR</t>
  </si>
  <si>
    <t>ARB8-L-NN-1-1-1-0-L-Y-N-BR</t>
  </si>
  <si>
    <t>ARB8-L-NN-1-1-1-0-L-Y-Y-BR</t>
  </si>
  <si>
    <t>ARB8-LXL-NN-1-1-1-0-L-Y-N-BR</t>
  </si>
  <si>
    <t>MA08-C-NN-1-0-0-0-L-Y-Y-BR</t>
  </si>
  <si>
    <t>MA08-N-NN-0-1-0-0-L-Y-Y-BR</t>
  </si>
  <si>
    <t>MA10-N-NN-0-2-0-0-L-N-Y-BR</t>
  </si>
  <si>
    <t>MA10-N-NN-0-2-0-0-L-Y-Y-BR</t>
  </si>
  <si>
    <t>MA12-C-NN-1-2-0-0-L-Y-Y-BR</t>
  </si>
  <si>
    <t>MA12-D-DL-2-0-1-0-LSPO-Y-Y-BR</t>
  </si>
  <si>
    <t>MA12-D-DL-2-0-2-0-LSPO-Y-Y-BR</t>
  </si>
  <si>
    <t>MA12-D-NN-2-0-1-0-LSPO-Y-Y-BR</t>
  </si>
  <si>
    <t>MA12-DXL-NN-2-0-1-0-LSPO-Y-Y-BR</t>
  </si>
  <si>
    <t>MA14-C-NN-1-2-0-0-L-Y-Y-BR</t>
  </si>
  <si>
    <t>MA14-D-DL-2-0-2-0-LSPO-Y-Y-BR</t>
  </si>
  <si>
    <t>MA14-D-DL-2-0-2-0-L-Y-Y-BR</t>
  </si>
  <si>
    <t>MA14-DXL-NN-2-0-2-0-L-Y-Y-BR</t>
  </si>
  <si>
    <t>STC8-N-NN-0-1-0-0-L-N-Y-BR</t>
  </si>
  <si>
    <t>STC8-N-NN-0-1-0-0-L-Y-Y-BR</t>
  </si>
  <si>
    <t>STC9-C-NN-1-0-0-0-L-Y-Y-BR</t>
  </si>
  <si>
    <t>STC9-N-NN-0-2-0-0-L-Y-Y-BR</t>
  </si>
  <si>
    <t>STT7-N-NN-1-0-0-0-L-Y-N-BR</t>
  </si>
  <si>
    <t>STT7-N-NN-1-0-0-0-L-Y-Y-BR</t>
  </si>
  <si>
    <t>STT9-N-NN-1-0-0-0-L-Y-Y-BR</t>
  </si>
  <si>
    <t>ARB8-L-NN-0-1-0-1-L-Y-Y-BR</t>
  </si>
  <si>
    <t>MA12-DXL-NN-2-0-0-0-LSPO-Y-Y-BR</t>
  </si>
  <si>
    <t>MA12-N-NN-1-2-0-0-L-Y-Y-BR</t>
  </si>
  <si>
    <t>MA12-D-DL-2-0-1-0-L-Y-Y-BR</t>
  </si>
  <si>
    <t>STC8-N-NN-0-1-0-0-L-Y-N-BR</t>
  </si>
  <si>
    <t>STT7-N-NN-1-0-0-0-N-N-N-BR</t>
  </si>
  <si>
    <t>GX12-DXL-NN-1-1-2-1-N-N-N-BR</t>
  </si>
  <si>
    <t>ARB8-L-DR-0-1-0-1-L-Y-Y-BR</t>
  </si>
  <si>
    <t>GX14-DXL-NN-2-2-2-0-N-N-N-BR</t>
  </si>
  <si>
    <t>GX08-C-NN-1-0-1-0-N-N-N-BR</t>
  </si>
  <si>
    <t>GX14-D-NN-2-2-2-0-N-N-N-BR</t>
  </si>
  <si>
    <t>MA12-D-DL-1-0-0-1-SPO-Y-Y-BR</t>
  </si>
  <si>
    <t>ARB8-L-DR-0-1-0-1-Y-Y-N-BR</t>
  </si>
  <si>
    <t>GX06-RXL-NN-1-1-1-0-N-N-N-BR</t>
  </si>
  <si>
    <t>GX12-RXL-DL-1-1-2-0-N-N-N-BR</t>
  </si>
  <si>
    <t>GX08-N-NN-1-1-1-0-N-N-N-BR</t>
  </si>
  <si>
    <t>GX08-LXL-DR-1-1-1-0-N-N-N-BR</t>
  </si>
  <si>
    <t>GX05-R-NN-1-0-0-0-N-N-N-BR</t>
  </si>
  <si>
    <t>GX10-D-DL-D2-1-1-0-N-N-N-BR</t>
  </si>
  <si>
    <t>GX08-RXL-NN-D1-1-1-0-N-N-N-BR</t>
  </si>
  <si>
    <t>STT7-N-NN-1-0-0-0-N-Y-N-BR</t>
  </si>
  <si>
    <t>GX10-D-PL-2-1-1-0-N-N-N-BR</t>
  </si>
  <si>
    <t>ARB8-LXL-NN-0-1-0-1-Y-Y-Y-BR</t>
  </si>
  <si>
    <t>STT9-N-NN-1-0-0-0-N-N-Y-BR</t>
  </si>
  <si>
    <t>GX10-CXL-PL-0-1-1-1-N-N-N-BR</t>
  </si>
  <si>
    <t>GX14-L-NN-1-1-2-0-N-N-N-BR</t>
  </si>
  <si>
    <t>GX10-D-DL-2-0-1-0-N-N-N-BR</t>
  </si>
  <si>
    <t>GX09-D-PL-2-0-1-0-N-N-N-BR</t>
  </si>
  <si>
    <t>GX10-C-NN-1-2-0-0-N-N-N-BR</t>
  </si>
  <si>
    <t>STT9-N-NN-1-0-0-0-Y-Y-N-BR</t>
  </si>
  <si>
    <t>GX05-CXL-NN-1-0-0-0-N-N-N-BR</t>
  </si>
  <si>
    <t>GX05-N-NN-0-1-1-0-N-N-N-BR</t>
  </si>
  <si>
    <t>MA12-C-NN-D1-2-0-0-L-Y-Y-BR</t>
  </si>
  <si>
    <t>STT7-N-NN-1-0-0-0-N-Y-Y-BR</t>
  </si>
  <si>
    <t>GX09-R-PL-1-0-2-0-N-N-N-BR</t>
  </si>
  <si>
    <t>GX05-R-DL-1-0-0-0-N-N-N-BR</t>
  </si>
  <si>
    <t>GX09-L-NN-1-1-1-0-N-N-N-BR</t>
  </si>
  <si>
    <t>GX09-R-PL-1-1-1-0-N-N-N-BR</t>
  </si>
  <si>
    <t>GX09-C-DR-1-1-1-0-N-N-N-BR</t>
  </si>
  <si>
    <t>GX10-L-NN-1-1-1-0-N-N-N-BR</t>
  </si>
  <si>
    <t>GX14-R-DL-1-2-2-0-N-N-N-BR</t>
  </si>
  <si>
    <t>GX09-C-NN-1-1-1-0-N-N-N-BR</t>
  </si>
  <si>
    <t>ARB8-R-NN-1-1-0-0-Y-Y-N-BR</t>
  </si>
  <si>
    <t>GX06-R-DL-1-0-0-0-N-N-N-BR</t>
  </si>
  <si>
    <t>GX09-R-PL-1-1-0-0-N-N-N-BR</t>
  </si>
  <si>
    <t>GX09-RXL-DL-1-1-0-0-N-N-N-BR</t>
  </si>
  <si>
    <t>GX09-L-DR-1-1-1-0-N-N-N-BR</t>
  </si>
  <si>
    <t>MA10-N-NN-0-2-0-0-L-Y-N-BR</t>
  </si>
  <si>
    <t>GX10-RXL-DL-1-1-0-0-N-N-N-BR</t>
  </si>
  <si>
    <t>GX12-C-DR-0-2-1-1-N-N-N-BR</t>
  </si>
  <si>
    <t>GX09-R-NN-0-1-1-1-N-N-N-BR</t>
  </si>
  <si>
    <t>STT9-N-NN-1-0-0-0-L-Y-N-BR</t>
  </si>
  <si>
    <t>GX10-LXL-DR-D1-1-2-0-N-N-N-BR</t>
  </si>
  <si>
    <t>GX10-D-PL-D2-1-1-0-N-N-N-BR</t>
  </si>
  <si>
    <t>GX09-L-PR-1-1-1-0-N-N-N-BR</t>
  </si>
  <si>
    <t>GX08-C-NN-D1-1-1-0-N-N-N-BR</t>
  </si>
  <si>
    <t>GX06-R-NN-D1-1-1-0-N-N-N-BR</t>
  </si>
  <si>
    <t>ARB8-L-PR-1-1-0-0-Y-Y-N-BR</t>
  </si>
  <si>
    <t>GX12-D-DL-D2-1-2-0-N-N-N-BR</t>
  </si>
  <si>
    <t>GX08-C-DR-D1-1-1-0-N-N-N-BR</t>
  </si>
  <si>
    <t>GX10-C-PR-1-1-1-0-N-N-N-BR</t>
  </si>
  <si>
    <t>GX06-R-DL-D1-1-1-0-N-N-N-BR</t>
  </si>
  <si>
    <t>GX08-L-PR-1-1-1-0-N-N-N-BR</t>
  </si>
  <si>
    <t>GX14-CXL-DR-D1-2-2-0-N-N-N-BR</t>
  </si>
  <si>
    <t>ARB8-L-DR-D1-1-1-0-Y-Y-Y-BR</t>
  </si>
  <si>
    <t>GX10-RXL-NN-1-1-2-0-N-N-N-BR</t>
  </si>
  <si>
    <t>PRT9-N-NN-0-2-0-0-N-Y-Y-BR</t>
  </si>
  <si>
    <t>GX10-C-NN-1-1-1-0-N-N-N-BR</t>
  </si>
  <si>
    <t>GX10-R-DL-D1-1-2-0-N-N-N-BR</t>
  </si>
  <si>
    <t>GX08-L-NN-D1-1-1-0-N-N-N-BR</t>
  </si>
  <si>
    <t>GX09-C-DR-1-1-2-0-N-N-N-BR</t>
  </si>
  <si>
    <t>GX10-D-NN-D1-1-0-1-N-N-N-BR</t>
  </si>
  <si>
    <t>ARB6-L-DR-1-0-0-0-N-Y-N-BR</t>
  </si>
  <si>
    <t>GX06-L-DL-1-1-0-0-N-N-N-BR</t>
  </si>
  <si>
    <t>PRT7-N-NN-0-1-0-0-Y-Y-Y-BR</t>
  </si>
  <si>
    <t>ARB8-L-NN-D1-1-1-0-Y-Y-Y-BR</t>
  </si>
  <si>
    <t>PRT7-N-NN-0-1-0-0-Y-Y-N-BR</t>
  </si>
  <si>
    <t>PRT9-N-NN-0-2-0-0-Y-Y-Y-BR</t>
  </si>
  <si>
    <t>GX06-L-DR-1-1-0-0-N-N-N-BR</t>
  </si>
  <si>
    <t>ARB6-L-DR-1-1-0-0-N-Y-N-BR</t>
  </si>
  <si>
    <t>GX09-L-DR-1-1-2-0-N-N-N-BR</t>
  </si>
  <si>
    <t>GX10-DXL-NN-1-1-1-1-N-N-N-BR</t>
  </si>
  <si>
    <t>ARB8-L-PR-1-1-1-0-Y-Y-N-BR</t>
  </si>
  <si>
    <t>GX10-CXL-PR-D1-1-2-0-N-N-N-BR</t>
  </si>
  <si>
    <t>GX10-R-PL-D1-1-2-0-N-N-N-BR</t>
  </si>
  <si>
    <t>PRT9-N-NN-0-2-0-0-L-Y-Y-BR</t>
  </si>
  <si>
    <t>ARB8-LXL-NN-1-1-0-0-Y-Y-N-BR</t>
  </si>
  <si>
    <t>GX06-R-DL-1-0-1-0-N-N-N-BR</t>
  </si>
  <si>
    <t>GX12-CXL-DR-0-2-2-1-N-N-N-BR</t>
  </si>
  <si>
    <t>GX09-D-NN-1-0-1-1-N-N-N-BR</t>
  </si>
  <si>
    <t>GX09-L-PR-1-1-2-0-N-N-N-BR</t>
  </si>
  <si>
    <t>GX12-D-PL-1-1-1-1-N-N-N-BR</t>
  </si>
  <si>
    <t>GX14-D-PL-1-2-1-1-N-N-N-BR</t>
  </si>
  <si>
    <t>MA12-CXL-NN-1-2-1-0-L-Y-Y-BR</t>
  </si>
  <si>
    <t>GX12-LXL-PR-0-1-2-1-N-N-N-BR</t>
  </si>
  <si>
    <t>GX09-L-DR-D1-1-2-0-N-N-N-BR</t>
  </si>
  <si>
    <t>26FIREPIT-N-NN-1-0-0-0-N-N-N-DG</t>
  </si>
  <si>
    <t>ARB6-L-NN-1-1-0-0-N-Y-N-DG</t>
  </si>
  <si>
    <t>ARB6-L-NN-1-1-0-0-N-Y-Y-DG</t>
  </si>
  <si>
    <t>ARB6-L-NN-1-1-0-0-Y-Y-N-DG</t>
  </si>
  <si>
    <t>ARB6-L-NN-1-1-0-0-Y-Y-Y-DG</t>
  </si>
  <si>
    <t>ARB6-L-NN-1-1-1-0-N-Y-Y-DG</t>
  </si>
  <si>
    <t>ARB8-L-DR-1-1-0-0-Y-Y-N-DG</t>
  </si>
  <si>
    <t>ARB8-L-NN-1-1-0-0-Y-Y-N-DG</t>
  </si>
  <si>
    <t>ARB8-L-DR-1-1-0-0-Y-Y-Y-DG</t>
  </si>
  <si>
    <t>ARB8-L-NN-1-1-0-0-Y-Y-Y-DG</t>
  </si>
  <si>
    <t>ARB8-L-DR-1-1-1-0-Y-Y-N-DG</t>
  </si>
  <si>
    <t>ARB8-L-DR-1-1-1-0-Y-Y-Y-DG</t>
  </si>
  <si>
    <t>ARB8-L-NN-1-1-0-0-Y-N-Y-DG</t>
  </si>
  <si>
    <t>ARB8-L-NN-1-1-1-0-Y-Y-N-DG</t>
  </si>
  <si>
    <t>ARB8-L-NN-1-1-1-0-Y-Y-Y-DG</t>
  </si>
  <si>
    <t>ARB8-LXL-NN-1-1-1-0-Y-Y-N-DG</t>
  </si>
  <si>
    <t>FIREPIT-N-NN-0-0-0-0-N-N-N-DG</t>
  </si>
  <si>
    <t>GX03-C-NN-1-0-0-0-N-N-N-DG</t>
  </si>
  <si>
    <t>GX04-R-DL-0-0-0-1-N-N-N-DG</t>
  </si>
  <si>
    <t>GX04-R-DL-1-0-0-0-N-N-N-DG</t>
  </si>
  <si>
    <t>GX04-R-NN-1-0-0-0-N-N-N-DG</t>
  </si>
  <si>
    <t>GX04-R-DL-1-0-1-0-N-N-N-DG</t>
  </si>
  <si>
    <t>GX04-R-NN-1-0-1-0-N-N-N-DG</t>
  </si>
  <si>
    <t>GX04-RXL-NN-1-0-1-0-N-N-N-DG</t>
  </si>
  <si>
    <t>GX05-R-NN-1-1-0-0-N-N-N-DG</t>
  </si>
  <si>
    <t>GX06-R-DL-1-1-0-0-N-N-N-DG</t>
  </si>
  <si>
    <t>GX06-R-DL-1-1-1-0-N-N-N-DG</t>
  </si>
  <si>
    <t>GX06-R-NN-1-0-0-0-N-N-N-DG</t>
  </si>
  <si>
    <t>GX06-R-NN-1-1-0-0-N-N-N-DG</t>
  </si>
  <si>
    <t>GX06-R-NN-1-1-1-0-N-N-N-DG</t>
  </si>
  <si>
    <t>GX06-R-PL-1-1-0-0-N-N-N-DG</t>
  </si>
  <si>
    <t>GX06-RXL-DL-1-0-1-0-N-N-N-DG</t>
  </si>
  <si>
    <t>GX06-RXL-NN-1-1-0-0-N-N-N-DG</t>
  </si>
  <si>
    <t>GX08-C-DR-1-0-1-0-N-N-N-DG</t>
  </si>
  <si>
    <t>GX08-C-DR-1-1-1-0-N-N-N-DG</t>
  </si>
  <si>
    <t>GX08-C-NN-1-1-1-0-N-N-N-DG</t>
  </si>
  <si>
    <t>GX08-C-NN-0-1-0-1-N-N-N-DG</t>
  </si>
  <si>
    <t>GX08-C-NN-1-0-0-0-N-N-N-DG</t>
  </si>
  <si>
    <t>GX08-C-NN-1-1-0-0-N-N-N-DG</t>
  </si>
  <si>
    <t>GX08-C-NN-1-1-1-1-N-N-N-DG</t>
  </si>
  <si>
    <t>GX08-CXL-NN-1-1-1-0-N-N-N-DG</t>
  </si>
  <si>
    <t>GX08-L-NN-1-1-2-0-N-N-N-DG</t>
  </si>
  <si>
    <t>GX08-R-DL-0-1-0-1-N-N-N-DG</t>
  </si>
  <si>
    <t>GX08-R-DL-0-1-1-1-N-N-N-DG</t>
  </si>
  <si>
    <t>GX08-R-DL-1-0-0-0-N-N-N-DG</t>
  </si>
  <si>
    <t>GX08-R-DL-1-0-1-0-N-N-N-DG</t>
  </si>
  <si>
    <t>GX08-R-DL-1-0-2-0-N-N-N-DG</t>
  </si>
  <si>
    <t>GX08-R-DL-1-1-1-0-N-N-N-DG</t>
  </si>
  <si>
    <t>GX08-R-DR-1-1-1-0-N-N-N-DG</t>
  </si>
  <si>
    <t>GX08-R-NN-1-0-0-0-N-N-N-DG</t>
  </si>
  <si>
    <t>GX08-R-NN-1-1-0-0-N-N-N-DG</t>
  </si>
  <si>
    <t>GX08-R-NN-1-1-1-0-N-N-N-DG</t>
  </si>
  <si>
    <t>GX08-R-PL-1-1-1-0-N-N-N-DG</t>
  </si>
  <si>
    <t>GX08-RXL-DL-0-1-0-1-N-N-N-DG</t>
  </si>
  <si>
    <t>GX08-RXL-DL-0-1-1-0-N-N-N-DG</t>
  </si>
  <si>
    <t>GX08-RXL-DL-0-1-1-1-N-N-N-DG</t>
  </si>
  <si>
    <t>GX08-RXL-DL-1-1-0-1-N-N-N-DG</t>
  </si>
  <si>
    <t>GX08-RXL-DL-1-1-1-0-N-N-N-DG</t>
  </si>
  <si>
    <t>GX08-RXL-DL-1-1-1-1-N-N-N-DG</t>
  </si>
  <si>
    <t>GX08-RXL-NN-0-1-1-0-N-N-N-DG</t>
  </si>
  <si>
    <t>GX08-RXL-NN-0-1-1-1-N-N-N-DG</t>
  </si>
  <si>
    <t>GX08-RXL-NN-1-1-0-1-N-N-N-DG</t>
  </si>
  <si>
    <t>GX08-RXL-NN-1-1-1-0-N-N-N-DG</t>
  </si>
  <si>
    <t>GX08-RXL-NN-1-1-1-1-N-N-N-DG</t>
  </si>
  <si>
    <t>GX09-D-DL-1-0-1-1-N-N-N-DG</t>
  </si>
  <si>
    <t>GX09-D-DL-2-0-0-0-N-N-N-DG</t>
  </si>
  <si>
    <t>GX09-D-NN-2-0-0-0-N-N-N-DG</t>
  </si>
  <si>
    <t>GX09-D-DL-2-0-1-0-N-N-N-DG</t>
  </si>
  <si>
    <t>GX09-D-DL-2-0-2-0-N-N-N-DG</t>
  </si>
  <si>
    <t>GX09-D-NN-0-0-0-2-N-N-N-DG</t>
  </si>
  <si>
    <t>GX09-D-NN-2-0-1-0-N-N-N-DG</t>
  </si>
  <si>
    <t>GX09-D-NN-2-0-2-0-N-N-N-DG</t>
  </si>
  <si>
    <t>GX09-DXL-NN-2-0-2-0-N-N-N-DG</t>
  </si>
  <si>
    <t>GX09-R-DL-1-0-0-0-N-N-N-DG</t>
  </si>
  <si>
    <t>GX09-R-NN-1-0-0-0-N-N-N-DG</t>
  </si>
  <si>
    <t>GX09-R-DL-1-0-1-0-N-N-N-DG</t>
  </si>
  <si>
    <t>GX09-R-DL-1-0-2-0-N-N-N-DG</t>
  </si>
  <si>
    <t>GX09-R-DL-1-1-0-0-N-N-N-DG</t>
  </si>
  <si>
    <t>GX09-R-DL-1-1-1-0-N-N-N-DG</t>
  </si>
  <si>
    <t>GX09-R-DL-1-1-2-0-N-N-N-DG</t>
  </si>
  <si>
    <t>GX09-R-NN-0-0-1-1-N-N-N-DG</t>
  </si>
  <si>
    <t>GX09-R-NN-1-0-1-0-N-N-N-DG</t>
  </si>
  <si>
    <t>GX09-R-NN-1-0-2-0-N-N-N-DG</t>
  </si>
  <si>
    <t>GX09-R-NN-1-1-0-0-N-N-N-DG</t>
  </si>
  <si>
    <t>GX09-R-NN-1-1-1-0-N-N-N-DG</t>
  </si>
  <si>
    <t>GX09-R-NN-1-1-2-0-N-N-N-DG</t>
  </si>
  <si>
    <t>GX09-RXL-NN-0-0-0-1-N-N-N-DG</t>
  </si>
  <si>
    <t>GX09-RXL-NN-1-0-2-0-N-N-N-DG</t>
  </si>
  <si>
    <t>GX09-RXL-PL-0-1-1-1-N-N-N-DG</t>
  </si>
  <si>
    <t>GX09-RXL-PL-0-1-2-1-N-N-N-DG</t>
  </si>
  <si>
    <t>GX09-RXL-PL-1-1-2-0-N-N-N-DG</t>
  </si>
  <si>
    <t>GX10-C-DL-1-1-2-0-N-N-N-DG</t>
  </si>
  <si>
    <t>GX10-C-DR-0-1-1-1-N-N-N-DG</t>
  </si>
  <si>
    <t>GX10-C-DR-1-1-0-0-N-N-N-DG</t>
  </si>
  <si>
    <t>GX10-C-DR-1-1-1-0-N-N-N-DG</t>
  </si>
  <si>
    <t>GX10-C-DR-1-1-2-0-N-N-N-DG</t>
  </si>
  <si>
    <t>GX10-C-NN-1-1-2-0-N-N-N-DG</t>
  </si>
  <si>
    <t>GX10-C-PL-1-0-2-0-N-N-N-DG</t>
  </si>
  <si>
    <t>GX10-C-PR-1-1-2-0-N-N-N-DG</t>
  </si>
  <si>
    <t>GX10-CXL-DL-1-1-2-0-N-N-N-DG</t>
  </si>
  <si>
    <t>GX10-CXL-DR-1-1-2-0-N-N-N-DG</t>
  </si>
  <si>
    <t>GX10-CXL-NN-0-1-1-1-N-N-N-DG</t>
  </si>
  <si>
    <t>GX10-CXL-NN-1-1-2-0-N-N-N-DG</t>
  </si>
  <si>
    <t>GX10-CXL-PR-1-1-2-0-N-N-N-DG</t>
  </si>
  <si>
    <t>GX10-D-DL-1-1-0-1-N-N-N-DG</t>
  </si>
  <si>
    <t>GX10-D-DL-2-1-1-0-N-N-N-DG</t>
  </si>
  <si>
    <t>GX10-D-DR-2-1-1-0-N-N-N-DG</t>
  </si>
  <si>
    <t>GX10-D-NN-2-1-1-0-N-N-N-DG</t>
  </si>
  <si>
    <t>GX10-DXL-NN-1-1-0-1-N-N-N-DG</t>
  </si>
  <si>
    <t>GX10-DXL-NN-2-1-1-0-N-N-N-DG</t>
  </si>
  <si>
    <t>GX10-L-NN-1-1-2-0-N-N-N-DG</t>
  </si>
  <si>
    <t>GX10-R-DL-1-1-2-0-N-N-N-DG</t>
  </si>
  <si>
    <t>GX12-C-DR-1-2-2-0-N-N-N-DG</t>
  </si>
  <si>
    <t>GX12-C-NN-1-2-2-0-N-N-N-DG</t>
  </si>
  <si>
    <t>GX12-D-DL-1-1-1-1-N-N-N-DG</t>
  </si>
  <si>
    <t>GX12-D-DL-2-0-2-0-N-N-N-DG</t>
  </si>
  <si>
    <t>GX12-D-DL-2-1-2-0-N-N-N-DG</t>
  </si>
  <si>
    <t>GX12-D-NN-2-0-0-0-N-N-N-DG</t>
  </si>
  <si>
    <t>GX12-D-NN-2-1-2-0-N-N-N-DG</t>
  </si>
  <si>
    <t>GX12-D-PL-2-1-2-0-N-N-N-DG</t>
  </si>
  <si>
    <t>GX12-DXL-NN-1-1-1-1-N-N-N-DG</t>
  </si>
  <si>
    <t>GX12-DXL-NN-2-1-2-0-N-N-N-DG</t>
  </si>
  <si>
    <t>GX12-L-NN-1-2-0-0-N-N-N-DG</t>
  </si>
  <si>
    <t>GX14-C-DR-1-2-2-0-N-N-N-DG</t>
  </si>
  <si>
    <t>GX14-C-PL-1-0-2-0-N-N-N-DG</t>
  </si>
  <si>
    <t>GX14-CXL-DR-1-2-2-0-N-N-N-DG</t>
  </si>
  <si>
    <t>GX14-CXL-NN-1-1-2-0-N-N-N-DG</t>
  </si>
  <si>
    <t>GX14-D-DL-0-2-0-2-N-N-N-DG</t>
  </si>
  <si>
    <t>GX14-D-DL-2-1-2-0-N-N-N-DG</t>
  </si>
  <si>
    <t>GX14-D-DL-2-2-2-0-N-N-N-DG</t>
  </si>
  <si>
    <t>GX14-D-PL-2-2-2-0-N-N-N-DG</t>
  </si>
  <si>
    <t>GX14-DXL-NN-1-2-2-1-N-N-N-DG</t>
  </si>
  <si>
    <t>GX14-L-NN-1-1-3-0-N-N-N-DG</t>
  </si>
  <si>
    <t>GX14-RXL-NN-1-2-1-1-N-N-N-DG</t>
  </si>
  <si>
    <t>MA08-C-NN-1-0-0-0-Y-Y-Y-DG</t>
  </si>
  <si>
    <t>MA08-N-NN-0-1-0-0-Y-Y-Y-DG</t>
  </si>
  <si>
    <t>MA10-N-NN-0-2-0-0-Y-N-Y-DG</t>
  </si>
  <si>
    <t>MA10-N-NN-0-2-0-0-Y-Y-Y-DG</t>
  </si>
  <si>
    <t>MA12-C-NN-1-2-0-0-Y-Y-Y-DG</t>
  </si>
  <si>
    <t>MA12-D-DL-2-0-1-0-SPO-Y-Y-DG</t>
  </si>
  <si>
    <t>MA12-D-DL-2-0-2-0-SPO-Y-Y-DG</t>
  </si>
  <si>
    <t>MA12-D-NN-2-0-1-0-SPO-Y-Y-DG</t>
  </si>
  <si>
    <t>MA12-DXL-NN-2-0-1-0-SPO-Y-Y-DG</t>
  </si>
  <si>
    <t>MA14-C-NN-1-2-0-0-Y-Y-Y-DG</t>
  </si>
  <si>
    <t>MA14-D-DL-2-0-2-0-SPO-Y-Y-DG</t>
  </si>
  <si>
    <t>MA14-D-DL-2-0-2-0-Y-Y-Y-DG</t>
  </si>
  <si>
    <t>MA14-DXL-NN-2-0-2-0-Y-Y-Y-DG</t>
  </si>
  <si>
    <t>STC8-N-NN-0-1-0-0-Y-N-Y-DG</t>
  </si>
  <si>
    <t>STC8-N-NN-0-1-0-0-Y-Y-Y-DG</t>
  </si>
  <si>
    <t>STC9-C-NN-1-0-0-0-Y-Y-Y-DG</t>
  </si>
  <si>
    <t>STC9-N-NN-0-2-0-0-Y-Y-Y-DG</t>
  </si>
  <si>
    <t>STR9-N-NN-1-0-0-0-N-Y-N-DG</t>
  </si>
  <si>
    <t>STT7-N-NN-1-0-0-0-Y-Y-N-DG</t>
  </si>
  <si>
    <t>STT7-N-NN-1-0-0-0-Y-Y-Y-DG</t>
  </si>
  <si>
    <t>STT9-N-NN-1-0-0-0-Y-Y-Y-DG</t>
  </si>
  <si>
    <t>GX09-RXL-NN-1-1-1-0-N-N-N-DG</t>
  </si>
  <si>
    <t>GX09-DXL-NN-1-0-1-1-N-N-N-DG</t>
  </si>
  <si>
    <t>GX10-CXL-DR-0-1-2-1-N-N-N-DG</t>
  </si>
  <si>
    <t>GX12-CXL-NN-0-2-1-1-N-N-N-DG</t>
  </si>
  <si>
    <t>GX10-CXL-PR-1-1-1-0-N-N-N-DG</t>
  </si>
  <si>
    <t>GX12-C-NN-1-1-2-0-N-N-N-DG</t>
  </si>
  <si>
    <t>GX06-R-DL-0-1-0-1-N-N-N-DG</t>
  </si>
  <si>
    <t>GX12-CXL-DR-1-2-2-0-N-N-N-DG</t>
  </si>
  <si>
    <t>ARB8-L-NN-0-1-0-1-Y-Y-Y-DG</t>
  </si>
  <si>
    <t>ARB8-L-N-N-0-1-0-1-Y-Y-Y-DG</t>
  </si>
  <si>
    <t>GX08-R-NN-1-0-1-0-N-N-N-DG</t>
  </si>
  <si>
    <t>MA12-DXL-NN-2-0-0-0-SPO-Y-Y-DG</t>
  </si>
  <si>
    <t>GX10-L-DR-0-1-1-1-N-N-N-DG</t>
  </si>
  <si>
    <t>EASY-C-NN-1-4-0-0-N-N-N-DG</t>
  </si>
  <si>
    <t>GX12-CXL-NN-1-2-2-0-N-N-N-DG</t>
  </si>
  <si>
    <t>GX09-RXL-NN-0-1-1-1-N-N-N-DG</t>
  </si>
  <si>
    <t>GX08-C-PR-1-1-1-0-N-N-N-DG</t>
  </si>
  <si>
    <t>GX09-R-DL-0-1-1-1-N-N-N-DG</t>
  </si>
  <si>
    <t>GX12-CXL-NN-0-2-2-1-N-N-N-DG</t>
  </si>
  <si>
    <t>STC8-N-NN-0-1-0-0-N-Y-N-DG</t>
  </si>
  <si>
    <t>GX10-L-NN-1-1-0-0-N-N-N-DG</t>
  </si>
  <si>
    <t>MA12-N-NN-1-2-0-0-Y-Y-Y-DG</t>
  </si>
  <si>
    <t>GX06-R-NN-0-1-1-1-N-N-N-DG</t>
  </si>
  <si>
    <t>MA12-D-DL-2-0-1-0-Y-Y-Y-DG</t>
  </si>
  <si>
    <t>GX08-L-NN-1-1-1-0-N-N-N-DG</t>
  </si>
  <si>
    <t>GX09-RXL-NN-1-1-2-0-N-N-N-DG</t>
  </si>
  <si>
    <t>GX05-R-NN-1-0-1-0-N-N-N-DG</t>
  </si>
  <si>
    <t>GX08-L-DR-1-1-1-0-N-N-N-DG</t>
  </si>
  <si>
    <t>GX08-LXL-NN-1-1-1-0-N-N-N-DG</t>
  </si>
  <si>
    <t>GX14-C-NN-1-1-1-0-N-N-N-DG</t>
  </si>
  <si>
    <t>GX09-R-PL-1-1-2-0-N-N-N-DG</t>
  </si>
  <si>
    <t>STC8-N-NN-0-1-0-0-Y-Y-N-DG</t>
  </si>
  <si>
    <t>GX06-RXL-NN-0-1-0-1-N-N-N-DG</t>
  </si>
  <si>
    <t>GX14-DXL-DL-1-2-2-1-N-N-N-DG</t>
  </si>
  <si>
    <t>MA10-N-NN-0-0-0-0-N-N-Y-DG</t>
  </si>
  <si>
    <t>GX10-R-PL-1-1-2-0-N-N-N-DG</t>
  </si>
  <si>
    <t>GX06-R-NN-0-1-0-1-N-N-N-DG</t>
  </si>
  <si>
    <t>GX09-R-DL-0-0-1-1-N-N-N-DG</t>
  </si>
  <si>
    <t>GX06-R-NN-1-0-1-0-N-N-N-DG</t>
  </si>
  <si>
    <t>GX10-L-DR-1-1-2-0-N-N-N-DG</t>
  </si>
  <si>
    <t>GX10-R-NN-1-1-2-0-N-N-N-DG</t>
  </si>
  <si>
    <t>GX10-CXL-DL-0-1-1-1-N-N-N-DG</t>
  </si>
  <si>
    <t>GX08-L-NN-1-0-0-0-N-N-N-DG</t>
  </si>
  <si>
    <t>GX12-D-NN-1-0-2-1-N-N-N-DG</t>
  </si>
  <si>
    <t>GX12-CXL-NN-1-1-2-0-N-N-N-DG</t>
  </si>
  <si>
    <t>GX14-D-DL-1-2-1-1-N-N-N-DG</t>
  </si>
  <si>
    <t>GX10-CXL-PR-0-1-1-1-N-N-N-DG</t>
  </si>
  <si>
    <t>ARB8-L-NN-1-1-0-0-N-Y-N-DG</t>
  </si>
  <si>
    <t>GX09-RXL-PL-1-1-1-0-N-N-N-DG</t>
  </si>
  <si>
    <t>GX12-CXL-PR-0-2-2-1-N-N-N-DG</t>
  </si>
  <si>
    <t>ARB6-L-NN-1-1-0-0-L-Y-N-DG</t>
  </si>
  <si>
    <t>ARB6-L-NN-1-1-0-0-L-Y-Y-DG</t>
  </si>
  <si>
    <t>ARB8-L-DR-1-1-0-0-L-Y-N-DG</t>
  </si>
  <si>
    <t>ARB8-L-DR-1-1-0-0-L-Y-Y-DG</t>
  </si>
  <si>
    <t>ARB8-L-DR-1-1-1-0-L-Y-N-DG</t>
  </si>
  <si>
    <t>ARB8-L-DR-1-1-1-0-L-Y-Y-DG</t>
  </si>
  <si>
    <t>ARB8-L-NN-1-1-0-0-L-N-Y-DG</t>
  </si>
  <si>
    <t>ARB8-L-NN-1-1-0-0-L-Y-N-DG</t>
  </si>
  <si>
    <t>ARB8-L-NN-1-1-0-0-L-Y-Y-DG</t>
  </si>
  <si>
    <t>ARB8-L-NN-1-1-1-0-L-Y-N-DG</t>
  </si>
  <si>
    <t>ARB8-L-NN-1-1-1-0-L-Y-Y-DG</t>
  </si>
  <si>
    <t>ARB8-LXL-NN-1-1-1-0-L-Y-N-DG</t>
  </si>
  <si>
    <t>MA08-C-NN-1-0-0-0-L-Y-Y-DG</t>
  </si>
  <si>
    <t>MA08-N-NN-0-1-0-0-L-Y-Y-DG</t>
  </si>
  <si>
    <t>MA10-N-NN-0-2-0-0-L-N-Y-DG</t>
  </si>
  <si>
    <t>MA10-N-NN-0-2-0-0-L-Y-Y-DG</t>
  </si>
  <si>
    <t>MA12-C-NN-1-2-0-0-L-Y-Y-DG</t>
  </si>
  <si>
    <t>MA12-D-DL-2-0-1-0-LSPO-Y-Y-DG</t>
  </si>
  <si>
    <t>MA12-D-DL-2-0-2-0-LSPO-Y-Y-DG</t>
  </si>
  <si>
    <t>MA12-D-NN-2-0-1-0-LSPO-Y-Y-DG</t>
  </si>
  <si>
    <t>MA12-DXL-NN-2-0-1-0-LSPO-Y-Y-DG</t>
  </si>
  <si>
    <t>MA14-C-NN-1-2-0-0-L-Y-Y-DG</t>
  </si>
  <si>
    <t>MA14-D-DL-2-0-2-0-LSPO-Y-Y-DG</t>
  </si>
  <si>
    <t>MA14-D-DL-2-0-2-0-L-Y-Y-DG</t>
  </si>
  <si>
    <t>MA14-DXL-NN-2-0-2-0-L-Y-Y-DG</t>
  </si>
  <si>
    <t>STC8-N-NN-0-1-0-0-L-N-Y-DG</t>
  </si>
  <si>
    <t>STC8-N-NN-0-1-0-0-L-Y-Y-DG</t>
  </si>
  <si>
    <t>STC9-C-NN-1-0-0-0-L-Y-Y-DG</t>
  </si>
  <si>
    <t>STC9-N-NN-0-2-0-0-L-Y-Y-DG</t>
  </si>
  <si>
    <t>STT7-N-NN-1-0-0-0-L-Y-N-DG</t>
  </si>
  <si>
    <t>STT7-N-NN-1-0-0-0-L-Y-Y-DG</t>
  </si>
  <si>
    <t>STT9-N-NN-1-0-0-0-L-Y-Y-DG</t>
  </si>
  <si>
    <t>ARB8-L-NN-0-1-0-1-L-Y-Y-DG</t>
  </si>
  <si>
    <t>MA12-DXL-NN-2-0-0-0-LSPO-Y-Y-DG</t>
  </si>
  <si>
    <t>MA12-N-NN-1-2-0-0-L-Y-Y-DG</t>
  </si>
  <si>
    <t>MA12-D-DL-2-0-1-0-L-Y-Y-DG</t>
  </si>
  <si>
    <t>STC8-N-NN-0-1-0-0-L-Y-N-DG</t>
  </si>
  <si>
    <t>STT7-N-NN-1-0-0-0-N-N-N-DG</t>
  </si>
  <si>
    <t>GX12-DXL-NN-1-1-2-1-N-N-N-DG</t>
  </si>
  <si>
    <t>ARB8-L-DR-0-1-0-1-L-Y-Y-DG</t>
  </si>
  <si>
    <t>GX14-DXL-NN-2-2-2-0-N-N-N-DG</t>
  </si>
  <si>
    <t>GX08-C-NN-1-0-1-0-N-N-N-DG</t>
  </si>
  <si>
    <t>GX14-D-NN-2-2-2-0-N-N-N-DG</t>
  </si>
  <si>
    <t>MA12-D-DL-1-0-0-1-SPO-Y-Y-DG</t>
  </si>
  <si>
    <t>ARB8-L-DR-0-1-0-1-Y-Y-N-DG</t>
  </si>
  <si>
    <t>GX06-RXL-NN-1-1-1-0-N-N-N-DG</t>
  </si>
  <si>
    <t>GX12-RXL-DL-1-1-2-0-N-N-N-DG</t>
  </si>
  <si>
    <t>GX08-N-NN-1-1-1-0-N-N-N-DG</t>
  </si>
  <si>
    <t>GX08-LXL-DR-1-1-1-0-N-N-N-DG</t>
  </si>
  <si>
    <t>GX05-R-NN-1-0-0-0-N-N-N-DG</t>
  </si>
  <si>
    <t>GX10-D-DL-D2-1-1-0-N-N-N-DG</t>
  </si>
  <si>
    <t>GX08-RXL-NN-D1-1-1-0-N-N-N-DG</t>
  </si>
  <si>
    <t>STT7-N-NN-1-0-0-0-N-Y-N-DG</t>
  </si>
  <si>
    <t>GX10-D-PL-2-1-1-0-N-N-N-DG</t>
  </si>
  <si>
    <t>ARB8-LXL-NN-0-1-0-1-Y-Y-Y-DG</t>
  </si>
  <si>
    <t>STT9-N-NN-1-0-0-0-N-N-Y-DG</t>
  </si>
  <si>
    <t>GX10-CXL-PL-0-1-1-1-N-N-N-DG</t>
  </si>
  <si>
    <t>GX14-L-NN-1-1-2-0-N-N-N-DG</t>
  </si>
  <si>
    <t>GX10-D-DL-2-0-1-0-N-N-N-DG</t>
  </si>
  <si>
    <t>GX09-D-PL-2-0-1-0-N-N-N-DG</t>
  </si>
  <si>
    <t>GX10-C-NN-1-2-0-0-N-N-N-DG</t>
  </si>
  <si>
    <t>STT9-N-NN-1-0-0-0-Y-Y-N-DG</t>
  </si>
  <si>
    <t>GX05-CXL-NN-1-0-0-0-N-N-N-DG</t>
  </si>
  <si>
    <t>GX05-N-NN-0-1-1-0-N-N-N-DG</t>
  </si>
  <si>
    <t>MA12-C-NN-D1-2-0-0-L-Y-Y-DG</t>
  </si>
  <si>
    <t>STT7-N-NN-1-0-0-0-N-Y-Y-DG</t>
  </si>
  <si>
    <t>GX09-R-PL-1-0-2-0-N-N-N-DG</t>
  </si>
  <si>
    <t>GX05-R-DL-1-0-0-0-N-N-N-DG</t>
  </si>
  <si>
    <t>GX09-L-NN-1-1-1-0-N-N-N-DG</t>
  </si>
  <si>
    <t>GX09-R-PL-1-1-1-0-N-N-N-DG</t>
  </si>
  <si>
    <t>GX09-C-DR-1-1-1-0-N-N-N-DG</t>
  </si>
  <si>
    <t>GX10-L-NN-1-1-1-0-N-N-N-DG</t>
  </si>
  <si>
    <t>GX14-R-DL-1-2-2-0-N-N-N-DG</t>
  </si>
  <si>
    <t>GX09-C-NN-1-1-1-0-N-N-N-DG</t>
  </si>
  <si>
    <t>ARB8-R-NN-1-1-0-0-Y-Y-N-DG</t>
  </si>
  <si>
    <t>GX06-R-DL-1-0-0-0-N-N-N-DG</t>
  </si>
  <si>
    <t>GX09-R-PL-1-1-0-0-N-N-N-DG</t>
  </si>
  <si>
    <t>GX09-RXL-DL-1-1-0-0-N-N-N-DG</t>
  </si>
  <si>
    <t>GX09-L-DR-1-1-1-0-N-N-N-DG</t>
  </si>
  <si>
    <t>MA10-N-NN-0-2-0-0-L-Y-N-DG</t>
  </si>
  <si>
    <t>GX10-RXL-DL-1-1-0-0-N-N-N-DG</t>
  </si>
  <si>
    <t>GX12-C-DR-0-2-1-1-N-N-N-DG</t>
  </si>
  <si>
    <t>GX09-R-NN-0-1-1-1-N-N-N-DG</t>
  </si>
  <si>
    <t>STT9-N-NN-1-0-0-0-L-Y-N-DG</t>
  </si>
  <si>
    <t>GX10-LXL-DR-D1-1-2-0-N-N-N-DG</t>
  </si>
  <si>
    <t>GX10-D-PL-D2-1-1-0-N-N-N-DG</t>
  </si>
  <si>
    <t>GX09-L-PR-1-1-1-0-N-N-N-DG</t>
  </si>
  <si>
    <t>GX08-C-NN-D1-1-1-0-N-N-N-DG</t>
  </si>
  <si>
    <t>GX06-R-NN-D1-1-1-0-N-N-N-DG</t>
  </si>
  <si>
    <t>ARB8-L-PR-1-1-0-0-Y-Y-N-DG</t>
  </si>
  <si>
    <t>GX12-D-DL-D2-1-2-0-N-N-N-DG</t>
  </si>
  <si>
    <t>GX08-C-DR-D1-1-1-0-N-N-N-DG</t>
  </si>
  <si>
    <t>GX10-C-PR-1-1-1-0-N-N-N-DG</t>
  </si>
  <si>
    <t>GX06-R-DL-D1-1-1-0-N-N-N-DG</t>
  </si>
  <si>
    <t>GX08-L-PR-1-1-1-0-N-N-N-DG</t>
  </si>
  <si>
    <t>GX14-CXL-DR-D1-2-2-0-N-N-N-DG</t>
  </si>
  <si>
    <t>ARB8-L-DR-D1-1-1-0-Y-Y-Y-DG</t>
  </si>
  <si>
    <t>GX10-RXL-NN-1-1-2-0-N-N-N-DG</t>
  </si>
  <si>
    <t>PRT9-N-NN-0-2-0-0-N-Y-Y-DG</t>
  </si>
  <si>
    <t>GX10-C-NN-1-1-1-0-N-N-N-DG</t>
  </si>
  <si>
    <t>GX10-R-DL-D1-1-2-0-N-N-N-DG</t>
  </si>
  <si>
    <t>GX08-L-NN-D1-1-1-0-N-N-N-DG</t>
  </si>
  <si>
    <t>GX09-C-DR-1-1-2-0-N-N-N-DG</t>
  </si>
  <si>
    <t>GX10-D-NN-D1-1-0-1-N-N-N-DG</t>
  </si>
  <si>
    <t>ARB6-L-DR-1-0-0-0-N-Y-N-DG</t>
  </si>
  <si>
    <t>GX06-L-DL-1-1-0-0-N-N-N-DG</t>
  </si>
  <si>
    <t>PRT7-N-NN-0-1-0-0-Y-Y-Y-DG</t>
  </si>
  <si>
    <t>ARB8-L-NN-D1-1-1-0-Y-Y-Y-DG</t>
  </si>
  <si>
    <t>PRT7-N-NN-0-1-0-0-Y-Y-N-DG</t>
  </si>
  <si>
    <t>PRT9-N-NN-0-2-0-0-Y-Y-Y-DG</t>
  </si>
  <si>
    <t>GX06-L-DR-1-1-0-0-N-N-N-DG</t>
  </si>
  <si>
    <t>ARB6-L-DR-1-1-0-0-N-Y-N-DG</t>
  </si>
  <si>
    <t>GX09-L-DR-1-1-2-0-N-N-N-DG</t>
  </si>
  <si>
    <t>GX10-DXL-NN-1-1-1-1-N-N-N-DG</t>
  </si>
  <si>
    <t>ARB8-L-PR-1-1-1-0-Y-Y-N-DG</t>
  </si>
  <si>
    <t>GX10-CXL-PR-D1-1-2-0-N-N-N-DG</t>
  </si>
  <si>
    <t>GX10-R-PL-D1-1-2-0-N-N-N-DG</t>
  </si>
  <si>
    <t>PRT9-N-NN-0-2-0-0-L-Y-Y-DG</t>
  </si>
  <si>
    <t>ARB8-LXL-NN-1-1-0-0-Y-Y-N-DG</t>
  </si>
  <si>
    <t>GX06-R-DL-1-0-1-0-N-N-N-DG</t>
  </si>
  <si>
    <t>GX12-CXL-DR-0-2-2-1-N-N-N-DG</t>
  </si>
  <si>
    <t>GX09-D-NN-1-0-1-1-N-N-N-DG</t>
  </si>
  <si>
    <t>GX09-L-PR-1-1-2-0-N-N-N-DG</t>
  </si>
  <si>
    <t>GX12-D-PL-1-1-1-1-N-N-N-DG</t>
  </si>
  <si>
    <t>GX14-D-PL-1-2-1-1-N-N-N-DG</t>
  </si>
  <si>
    <t>MA12-CXL-NN-1-2-1-0-L-Y-Y-DG</t>
  </si>
  <si>
    <t>GX12-LXL-PR-0-1-2-1-N-N-N-DG</t>
  </si>
  <si>
    <t>GX09-L-DR-D1-1-2-0-N-N-N-DG</t>
  </si>
  <si>
    <t>GX09-C-PR-1-1-2-0-N-N-N-CA</t>
  </si>
  <si>
    <t>GX10-RXL-DL-1-1-2-0-N-N-N-CA</t>
  </si>
  <si>
    <t>GX14-L-DR-1-2-2-0-N-N-N-CA</t>
  </si>
  <si>
    <t>GX10-D-DL-2-0-2-0-N-N-N-CA</t>
  </si>
  <si>
    <t>GX09-L-NN-1-1-2-0-N-N-N-CA</t>
  </si>
  <si>
    <t>GX09-C-NN-1-1-2-0-N-N-N-CA</t>
  </si>
  <si>
    <t>GX09-CXL-DR-1-1-2-0-N-N-N-CA</t>
  </si>
  <si>
    <t>GX09-C-DR-D1-1-2-0-N-N-N-DG</t>
  </si>
  <si>
    <t>GX10-L-PR-1-1-2-0-N-N-N-CA</t>
  </si>
  <si>
    <t>ARB8-LXL-NN-1-1-1-0-L-Y-Y-BR</t>
  </si>
  <si>
    <t>GX08-R-DL-D1-1-1-0-N-N-N-CA</t>
  </si>
  <si>
    <t>STT7-N-NN-D1-0-0-0-Y-Y-Y-CA</t>
  </si>
  <si>
    <t>GX09-C-NN-0-1-1-1-N-N-N-CA</t>
  </si>
  <si>
    <t>GX08-RXL-DL-D1-1-1-0-N-N-N-CA</t>
  </si>
  <si>
    <t>MA14-D-NN-2-0-2-0-LSPO-Y-Y-CA</t>
  </si>
  <si>
    <t>GX14-LXL-DR-D1-2-2-0-N-N-N-CA</t>
  </si>
  <si>
    <t>GX09-C-NN-1-0-2-0-N-N-N-CA</t>
  </si>
  <si>
    <t>GX08-R-NN-0-1-0-1-N-N-N-CA</t>
  </si>
  <si>
    <t>GX08-R-DL-D1-1-1-0-N-N-N-BR</t>
  </si>
  <si>
    <t>GX09-C-NN-1-0-1-0-N-N-N-CA</t>
  </si>
  <si>
    <t>GX08-L-DR-D1-1-1-0-N-N-N-CA</t>
  </si>
  <si>
    <t>PRT7-N-NN-0-1-0-0-N-Y-Y-CA</t>
  </si>
  <si>
    <t>GX10-C-DR-D1-1-2-0-N-N-N-CA</t>
  </si>
  <si>
    <t>PRT7-N-NN-0-1-0-0-L-Y-Y-CA</t>
  </si>
  <si>
    <t>PRT9-N-NN-0-2-0-0-Y-Y-N-DG</t>
  </si>
  <si>
    <t>GX09-L-NN-1-0-1-0-N-N-N-CA</t>
  </si>
  <si>
    <t>GX09-D-DL-2-0-2-0-N-Y-N-CA</t>
  </si>
  <si>
    <t>GX06-R-NN-D1-0-1-0-N-N-N-DG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</si>
</sst>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/>
    <xf numFmtId="0" fontId="0" fillId="0" borderId="0" xfId="0" applyAlignment="1">
      <alignment horizontal="left"/>
    </xf>
    <xf numFmtId="0" fontId="1" fillId="2" borderId="0" xfId="0" applyFont="1" applyFill="1"/>
    <xf numFmtId="0" fontId="0" fillId="0" borderId="1" xfId="0" applyBorder="1"/>
  </cellXfs>
  <cellStyles count="1">
    <cellStyle name="Normal" xfId="0" builtinId="0"/>
  </cellStyles>
  <dxfs count="225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889061-23FE-44CF-A9D4-E20239ADFEF6}" name="Table1" displayName="Table1" ref="A1:O1025" totalsRowShown="0">
  <autoFilter ref="A1:O1025" xr:uid="{27889061-23FE-44CF-A9D4-E20239ADFEF6}"/>
  <tableColumns count="15">
    <tableColumn id="1" xr3:uid="{20CBC64F-F1F8-400E-92FD-A3F77E817601}" name="Item"/>
    <tableColumn id="2" xr3:uid="{673FBD55-DA40-4E88-B42E-D0B35786D747}" name="Style" dataDxfId="13">
      <calculatedColumnFormula>LEFT(Table1[[#This Row],[Item]], FIND("-", Table1[[#This Row],[Item]]) - 1)</calculatedColumnFormula>
    </tableColumn>
    <tableColumn id="3" xr3:uid="{B5F24006-DB78-4C5B-BD4C-15EAED6C8D9B}" name="Grill Hole" dataDxfId="12">
      <calculatedColumnFormula>MID(LEFT(Table1[[#This Row],[Item]], FIND("{token}", SUBSTITUTE(Table1[[#This Row],[Item]], "-", "{token}", 2)) - 1), FIND("-", Table1[[#This Row],[Item]]) + 1, LEN(Table1[[#This Row],[Item]]))</calculatedColumnFormula>
    </tableColumn>
    <tableColumn id="4" xr3:uid="{05DAE546-FCBF-4348-B006-581921C59B51}" name="Burner" dataDxfId="11">
      <calculatedColumnFormula>MID(LEFT(Table1[[#This Row],[Item]], FIND("{token}", SUBSTITUTE(Table1[[#This Row],[Item]], "-", "{token}", 3)) - 1), FIND("{token}", SUBSTITUTE(Table1[[#This Row],[Item]], "-", "{token}", 2)) + 1, LEN(Table1[[#This Row],[Item]]))</calculatedColumnFormula>
    </tableColumn>
    <tableColumn id="5" xr3:uid="{6266643A-E739-48E2-AF3F-6A7AA24F9822}" name="Access Doors" dataDxfId="10">
      <calculatedColumnFormula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calculatedColumnFormula>
    </tableColumn>
    <tableColumn id="6" xr3:uid="{CF00189B-D8BD-4ABB-A222-2D3BC3D32C51}" name="Fridges" dataDxfId="9">
      <calculatedColumnFormula array="1">VALUE(INDEX(_xlfn.TEXTSPLIT(Table1[[#This Row],[Item]], "-"), 5))</calculatedColumnFormula>
    </tableColumn>
    <tableColumn id="7" xr3:uid="{972C78A8-265D-4F69-832B-C17ED7F2C0D8}" name="Drawer/Trash" dataDxfId="8">
      <calculatedColumnFormula array="1">VALUE(INDEX(_xlfn.TEXTSPLIT(Table1[[#This Row],[Item]], "-"), 6))</calculatedColumnFormula>
    </tableColumn>
    <tableColumn id="10" xr3:uid="{3F55B8BE-AEB2-4E61-8133-6871C760987D}" name="Warming" dataDxfId="7">
      <calculatedColumnFormula array="1">VALUE(INDEX(_xlfn.TEXTSPLIT(Table1[[#This Row],[Item]], "-"), 7))</calculatedColumnFormula>
    </tableColumn>
    <tableColumn id="8" xr3:uid="{3826A7B3-A642-4CEE-9035-78E2089FD96E}" name="Audio" dataDxfId="6">
      <calculatedColumnFormula>MID(LEFT(Table1[[#This Row],[Item]], FIND("{token}", SUBSTITUTE(Table1[[#This Row],[Item]], "-", "{token}", 8)) - 1), FIND("{token}", SUBSTITUTE(Table1[[#This Row],[Item]], "-", "{token}", 7)) + 1, LEN(Table1[[#This Row],[Item]]))</calculatedColumnFormula>
    </tableColumn>
    <tableColumn id="9" xr3:uid="{3D7B5E21-9006-4DFA-85BA-FBAD570D8330}" name="LED" dataDxfId="5">
      <calculatedColumnFormula>LEFT(RIGHT(Table1[[#This Row],[Item]],6),1)</calculatedColumnFormula>
    </tableColumn>
    <tableColumn id="11" xr3:uid="{59B4F6AC-69A8-4271-A616-A6A1A07DCB47}" name="Foot Rail" dataDxfId="4">
      <calculatedColumnFormula>MID(A2, LEN(A2)-3, 1)</calculatedColumnFormula>
    </tableColumn>
    <tableColumn id="15" xr3:uid="{A3883AEC-90C6-4D48-8047-C4AAD448AF50}" name="Siding" dataDxfId="3">
      <calculatedColumnFormula>RIGHT(Table1[[#This Row],[Item]],2)</calculatedColumnFormula>
    </tableColumn>
    <tableColumn id="12" xr3:uid="{953190D9-2801-4B9B-95DD-E7097BB36797}" name="Base Category" dataDxfId="2"/>
    <tableColumn id="13" xr3:uid="{1C4F20E5-5E46-44EA-9CAD-C46DD2B37BD0}" name="Build Item" dataDxfId="1"/>
    <tableColumn id="14" xr3:uid="{0139D6D0-1B71-4350-BFCD-0A7BBCF50FB7}" name="Max Capacit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37F3A-5234-491F-8E6E-BB738A328447}">
  <sheetPr>
    <pageSetUpPr fitToPage="1"/>
  </sheetPr>
  <dimension ref="A1:O1025"/>
  <sheetViews>
    <sheetView tabSelected="1" workbookViewId="0">
      <selection activeCell="N1026" sqref="N1026"/>
    </sheetView>
  </sheetViews>
  <sheetFormatPr defaultRowHeight="15" customHeight="1"/>
  <cols>
    <col min="1" max="1" width="32.42578125" customWidth="1"/>
    <col min="2" max="2" width="8.85546875" bestFit="1" customWidth="1"/>
    <col min="3" max="3" width="10.7109375" bestFit="1" customWidth="1"/>
    <col min="4" max="4" width="8.85546875" bestFit="1" customWidth="1"/>
    <col min="5" max="5" width="14" bestFit="1" customWidth="1"/>
    <col min="6" max="6" width="9" bestFit="1" customWidth="1"/>
    <col min="7" max="7" width="14.7109375" bestFit="1" customWidth="1"/>
    <col min="8" max="8" width="10.7109375" bestFit="1" customWidth="1"/>
    <col min="9" max="9" width="8" bestFit="1" customWidth="1"/>
    <col min="10" max="10" width="6.140625" bestFit="1" customWidth="1"/>
    <col min="11" max="11" width="10.42578125" bestFit="1" customWidth="1"/>
    <col min="12" max="12" width="10.42578125" customWidth="1"/>
    <col min="13" max="13" width="14.85546875" bestFit="1" customWidth="1"/>
    <col min="14" max="14" width="29.7109375" bestFit="1" customWidth="1"/>
    <col min="15" max="15" width="14.28515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  <c r="O1" t="s">
        <v>14</v>
      </c>
    </row>
    <row r="2" spans="1:15">
      <c r="A2" t="s">
        <v>15</v>
      </c>
      <c r="B2" s="1" t="str">
        <f>LEFT(Table1[[#This Row],[Item]], FIND("-", Table1[[#This Row],[Item]]) - 1)</f>
        <v>26FIREPIT</v>
      </c>
      <c r="C2" s="1" t="str">
        <f>MID(LEFT(Table1[[#This Row],[Item]], FIND("{token}", SUBSTITUTE(Table1[[#This Row],[Item]], "-", "{token}", 2)) - 1), FIND("-", Table1[[#This Row],[Item]]) + 1, LEN(Table1[[#This Row],[Item]]))</f>
        <v>N</v>
      </c>
      <c r="D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" s="1" cm="1">
        <f t="array" ref="F2">VALUE(INDEX(_xlfn.TEXTSPLIT(Table1[[#This Row],[Item]], "-"), 5))</f>
        <v>0</v>
      </c>
      <c r="G2" s="1" cm="1">
        <f t="array" ref="G2">VALUE(INDEX(_xlfn.TEXTSPLIT(Table1[[#This Row],[Item]], "-"), 6))</f>
        <v>0</v>
      </c>
      <c r="H2" s="1" cm="1">
        <f t="array" ref="H2">VALUE(INDEX(_xlfn.TEXTSPLIT(Table1[[#This Row],[Item]], "-"), 7))</f>
        <v>0</v>
      </c>
      <c r="I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" s="1" t="str">
        <f>LEFT(RIGHT(Table1[[#This Row],[Item]],6),1)</f>
        <v>N</v>
      </c>
      <c r="K2" s="1" t="str">
        <f t="shared" ref="K2:K65" si="0">MID(A2, LEN(A2)-3, 1)</f>
        <v>N</v>
      </c>
      <c r="L2" s="1" t="str">
        <f>RIGHT(Table1[[#This Row],[Item]],2)</f>
        <v>CA</v>
      </c>
      <c r="M2" s="1" t="s">
        <v>16</v>
      </c>
      <c r="N2" s="3" t="s">
        <v>15</v>
      </c>
      <c r="O2" s="1">
        <v>4</v>
      </c>
    </row>
    <row r="3" spans="1:15">
      <c r="A3" t="s">
        <v>17</v>
      </c>
      <c r="B3" s="1" t="str">
        <f>LEFT(Table1[[#This Row],[Item]], FIND("-", Table1[[#This Row],[Item]]) - 1)</f>
        <v>ARB6</v>
      </c>
      <c r="C3" s="1" t="str">
        <f>MID(LEFT(Table1[[#This Row],[Item]], FIND("{token}", SUBSTITUTE(Table1[[#This Row],[Item]], "-", "{token}", 2)) - 1), FIND("-", Table1[[#This Row],[Item]]) + 1, LEN(Table1[[#This Row],[Item]]))</f>
        <v>L</v>
      </c>
      <c r="D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" s="1" cm="1">
        <f t="array" ref="F3">VALUE(INDEX(_xlfn.TEXTSPLIT(Table1[[#This Row],[Item]], "-"), 5))</f>
        <v>1</v>
      </c>
      <c r="G3" s="1" cm="1">
        <f t="array" ref="G3">VALUE(INDEX(_xlfn.TEXTSPLIT(Table1[[#This Row],[Item]], "-"), 6))</f>
        <v>0</v>
      </c>
      <c r="H3" s="1" cm="1">
        <f t="array" ref="H3">VALUE(INDEX(_xlfn.TEXTSPLIT(Table1[[#This Row],[Item]], "-"), 7))</f>
        <v>0</v>
      </c>
      <c r="I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" s="1" t="str">
        <f>LEFT(RIGHT(Table1[[#This Row],[Item]],6),1)</f>
        <v>Y</v>
      </c>
      <c r="K3" s="1" t="str">
        <f t="shared" si="0"/>
        <v>N</v>
      </c>
      <c r="L3" s="1" t="str">
        <f>RIGHT(Table1[[#This Row],[Item]],2)</f>
        <v>CA</v>
      </c>
      <c r="M3" s="1" t="s">
        <v>16</v>
      </c>
      <c r="N3" s="3" t="s">
        <v>17</v>
      </c>
      <c r="O3" s="1">
        <v>18</v>
      </c>
    </row>
    <row r="4" spans="1:15">
      <c r="A4" t="s">
        <v>18</v>
      </c>
      <c r="B4" s="1" t="str">
        <f>LEFT(Table1[[#This Row],[Item]], FIND("-", Table1[[#This Row],[Item]]) - 1)</f>
        <v>ARB6</v>
      </c>
      <c r="C4" s="1" t="str">
        <f>MID(LEFT(Table1[[#This Row],[Item]], FIND("{token}", SUBSTITUTE(Table1[[#This Row],[Item]], "-", "{token}", 2)) - 1), FIND("-", Table1[[#This Row],[Item]]) + 1, LEN(Table1[[#This Row],[Item]]))</f>
        <v>L</v>
      </c>
      <c r="D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" s="1" cm="1">
        <f t="array" ref="F4">VALUE(INDEX(_xlfn.TEXTSPLIT(Table1[[#This Row],[Item]], "-"), 5))</f>
        <v>1</v>
      </c>
      <c r="G4" s="1" cm="1">
        <f t="array" ref="G4">VALUE(INDEX(_xlfn.TEXTSPLIT(Table1[[#This Row],[Item]], "-"), 6))</f>
        <v>0</v>
      </c>
      <c r="H4" s="1" cm="1">
        <f t="array" ref="H4">VALUE(INDEX(_xlfn.TEXTSPLIT(Table1[[#This Row],[Item]], "-"), 7))</f>
        <v>0</v>
      </c>
      <c r="I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" s="1" t="str">
        <f>LEFT(RIGHT(Table1[[#This Row],[Item]],6),1)</f>
        <v>Y</v>
      </c>
      <c r="K4" s="1" t="str">
        <f t="shared" si="0"/>
        <v>Y</v>
      </c>
      <c r="L4" s="1" t="str">
        <f>RIGHT(Table1[[#This Row],[Item]],2)</f>
        <v>CA</v>
      </c>
      <c r="M4" s="1" t="s">
        <v>19</v>
      </c>
      <c r="N4" s="3" t="s">
        <v>17</v>
      </c>
      <c r="O4" s="1"/>
    </row>
    <row r="5" spans="1:15">
      <c r="A5" t="s">
        <v>20</v>
      </c>
      <c r="B5" s="1" t="str">
        <f>LEFT(Table1[[#This Row],[Item]], FIND("-", Table1[[#This Row],[Item]]) - 1)</f>
        <v>ARB6</v>
      </c>
      <c r="C5" s="1" t="str">
        <f>MID(LEFT(Table1[[#This Row],[Item]], FIND("{token}", SUBSTITUTE(Table1[[#This Row],[Item]], "-", "{token}", 2)) - 1), FIND("-", Table1[[#This Row],[Item]]) + 1, LEN(Table1[[#This Row],[Item]]))</f>
        <v>L</v>
      </c>
      <c r="D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" s="1" cm="1">
        <f t="array" ref="F5">VALUE(INDEX(_xlfn.TEXTSPLIT(Table1[[#This Row],[Item]], "-"), 5))</f>
        <v>1</v>
      </c>
      <c r="G5" s="1" cm="1">
        <f t="array" ref="G5">VALUE(INDEX(_xlfn.TEXTSPLIT(Table1[[#This Row],[Item]], "-"), 6))</f>
        <v>0</v>
      </c>
      <c r="H5" s="1" cm="1">
        <f t="array" ref="H5">VALUE(INDEX(_xlfn.TEXTSPLIT(Table1[[#This Row],[Item]], "-"), 7))</f>
        <v>0</v>
      </c>
      <c r="I5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5" s="1" t="str">
        <f>LEFT(RIGHT(Table1[[#This Row],[Item]],6),1)</f>
        <v>Y</v>
      </c>
      <c r="K5" s="1" t="str">
        <f t="shared" si="0"/>
        <v>N</v>
      </c>
      <c r="L5" s="1" t="str">
        <f>RIGHT(Table1[[#This Row],[Item]],2)</f>
        <v>CA</v>
      </c>
      <c r="M5" s="1" t="s">
        <v>19</v>
      </c>
      <c r="N5" s="3" t="s">
        <v>17</v>
      </c>
      <c r="O5" s="1"/>
    </row>
    <row r="6" spans="1:15">
      <c r="A6" t="s">
        <v>21</v>
      </c>
      <c r="B6" s="1" t="str">
        <f>LEFT(Table1[[#This Row],[Item]], FIND("-", Table1[[#This Row],[Item]]) - 1)</f>
        <v>ARB6</v>
      </c>
      <c r="C6" s="1" t="str">
        <f>MID(LEFT(Table1[[#This Row],[Item]], FIND("{token}", SUBSTITUTE(Table1[[#This Row],[Item]], "-", "{token}", 2)) - 1), FIND("-", Table1[[#This Row],[Item]]) + 1, LEN(Table1[[#This Row],[Item]]))</f>
        <v>L</v>
      </c>
      <c r="D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" s="1" cm="1">
        <f t="array" ref="F6">VALUE(INDEX(_xlfn.TEXTSPLIT(Table1[[#This Row],[Item]], "-"), 5))</f>
        <v>1</v>
      </c>
      <c r="G6" s="1" cm="1">
        <f t="array" ref="G6">VALUE(INDEX(_xlfn.TEXTSPLIT(Table1[[#This Row],[Item]], "-"), 6))</f>
        <v>0</v>
      </c>
      <c r="H6" s="1" cm="1">
        <f t="array" ref="H6">VALUE(INDEX(_xlfn.TEXTSPLIT(Table1[[#This Row],[Item]], "-"), 7))</f>
        <v>0</v>
      </c>
      <c r="I6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" s="1" t="str">
        <f>LEFT(RIGHT(Table1[[#This Row],[Item]],6),1)</f>
        <v>Y</v>
      </c>
      <c r="K6" s="1" t="str">
        <f t="shared" si="0"/>
        <v>Y</v>
      </c>
      <c r="L6" s="1" t="str">
        <f>RIGHT(Table1[[#This Row],[Item]],2)</f>
        <v>CA</v>
      </c>
      <c r="M6" s="1" t="s">
        <v>16</v>
      </c>
      <c r="N6" s="3" t="s">
        <v>21</v>
      </c>
      <c r="O6" s="1">
        <v>18</v>
      </c>
    </row>
    <row r="7" spans="1:15">
      <c r="A7" t="s">
        <v>22</v>
      </c>
      <c r="B7" s="1" t="str">
        <f>LEFT(Table1[[#This Row],[Item]], FIND("-", Table1[[#This Row],[Item]]) - 1)</f>
        <v>ARB6</v>
      </c>
      <c r="C7" s="1" t="str">
        <f>MID(LEFT(Table1[[#This Row],[Item]], FIND("{token}", SUBSTITUTE(Table1[[#This Row],[Item]], "-", "{token}", 2)) - 1), FIND("-", Table1[[#This Row],[Item]]) + 1, LEN(Table1[[#This Row],[Item]]))</f>
        <v>L</v>
      </c>
      <c r="D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" s="1" cm="1">
        <f t="array" ref="F7">VALUE(INDEX(_xlfn.TEXTSPLIT(Table1[[#This Row],[Item]], "-"), 5))</f>
        <v>1</v>
      </c>
      <c r="G7" s="1" cm="1">
        <f t="array" ref="G7">VALUE(INDEX(_xlfn.TEXTSPLIT(Table1[[#This Row],[Item]], "-"), 6))</f>
        <v>1</v>
      </c>
      <c r="H7" s="1" cm="1">
        <f t="array" ref="H7">VALUE(INDEX(_xlfn.TEXTSPLIT(Table1[[#This Row],[Item]], "-"), 7))</f>
        <v>0</v>
      </c>
      <c r="I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" s="1" t="str">
        <f>LEFT(RIGHT(Table1[[#This Row],[Item]],6),1)</f>
        <v>Y</v>
      </c>
      <c r="K7" s="1" t="str">
        <f t="shared" si="0"/>
        <v>Y</v>
      </c>
      <c r="L7" s="1" t="str">
        <f>RIGHT(Table1[[#This Row],[Item]],2)</f>
        <v>CA</v>
      </c>
      <c r="M7" s="1" t="s">
        <v>19</v>
      </c>
      <c r="N7" s="3" t="s">
        <v>17</v>
      </c>
      <c r="O7" s="1"/>
    </row>
    <row r="8" spans="1:15">
      <c r="A8" t="s">
        <v>23</v>
      </c>
      <c r="B8" s="1" t="str">
        <f>LEFT(Table1[[#This Row],[Item]], FIND("-", Table1[[#This Row],[Item]]) - 1)</f>
        <v>ARB8</v>
      </c>
      <c r="C8" s="1" t="str">
        <f>MID(LEFT(Table1[[#This Row],[Item]], FIND("{token}", SUBSTITUTE(Table1[[#This Row],[Item]], "-", "{token}", 2)) - 1), FIND("-", Table1[[#This Row],[Item]]) + 1, LEN(Table1[[#This Row],[Item]]))</f>
        <v>L</v>
      </c>
      <c r="D8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" s="1" cm="1">
        <f t="array" ref="F8">VALUE(INDEX(_xlfn.TEXTSPLIT(Table1[[#This Row],[Item]], "-"), 5))</f>
        <v>1</v>
      </c>
      <c r="G8" s="1" cm="1">
        <f t="array" ref="G8">VALUE(INDEX(_xlfn.TEXTSPLIT(Table1[[#This Row],[Item]], "-"), 6))</f>
        <v>0</v>
      </c>
      <c r="H8" s="1" cm="1">
        <f t="array" ref="H8">VALUE(INDEX(_xlfn.TEXTSPLIT(Table1[[#This Row],[Item]], "-"), 7))</f>
        <v>0</v>
      </c>
      <c r="I8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8" s="1" t="str">
        <f>LEFT(RIGHT(Table1[[#This Row],[Item]],6),1)</f>
        <v>Y</v>
      </c>
      <c r="K8" s="1" t="str">
        <f t="shared" si="0"/>
        <v>N</v>
      </c>
      <c r="L8" s="1" t="str">
        <f>RIGHT(Table1[[#This Row],[Item]],2)</f>
        <v>CA</v>
      </c>
      <c r="M8" s="1" t="s">
        <v>19</v>
      </c>
      <c r="N8" s="3" t="s">
        <v>24</v>
      </c>
      <c r="O8" s="1"/>
    </row>
    <row r="9" spans="1:15">
      <c r="A9" t="s">
        <v>25</v>
      </c>
      <c r="B9" s="1" t="str">
        <f>LEFT(Table1[[#This Row],[Item]], FIND("-", Table1[[#This Row],[Item]]) - 1)</f>
        <v>ARB8</v>
      </c>
      <c r="C9" s="1" t="str">
        <f>MID(LEFT(Table1[[#This Row],[Item]], FIND("{token}", SUBSTITUTE(Table1[[#This Row],[Item]], "-", "{token}", 2)) - 1), FIND("-", Table1[[#This Row],[Item]]) + 1, LEN(Table1[[#This Row],[Item]]))</f>
        <v>L</v>
      </c>
      <c r="D9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" s="1" cm="1">
        <f t="array" ref="F9">VALUE(INDEX(_xlfn.TEXTSPLIT(Table1[[#This Row],[Item]], "-"), 5))</f>
        <v>1</v>
      </c>
      <c r="G9" s="1" cm="1">
        <f t="array" ref="G9">VALUE(INDEX(_xlfn.TEXTSPLIT(Table1[[#This Row],[Item]], "-"), 6))</f>
        <v>0</v>
      </c>
      <c r="H9" s="1" cm="1">
        <f t="array" ref="H9">VALUE(INDEX(_xlfn.TEXTSPLIT(Table1[[#This Row],[Item]], "-"), 7))</f>
        <v>0</v>
      </c>
      <c r="I9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9" s="1" t="str">
        <f>LEFT(RIGHT(Table1[[#This Row],[Item]],6),1)</f>
        <v>Y</v>
      </c>
      <c r="K9" s="1" t="str">
        <f t="shared" si="0"/>
        <v>Y</v>
      </c>
      <c r="L9" s="1" t="str">
        <f>RIGHT(Table1[[#This Row],[Item]],2)</f>
        <v>CA</v>
      </c>
      <c r="M9" s="1" t="s">
        <v>19</v>
      </c>
      <c r="N9" s="3" t="s">
        <v>26</v>
      </c>
      <c r="O9" s="1"/>
    </row>
    <row r="10" spans="1:15">
      <c r="A10" t="s">
        <v>27</v>
      </c>
      <c r="B10" s="1" t="str">
        <f>LEFT(Table1[[#This Row],[Item]], FIND("-", Table1[[#This Row],[Item]]) - 1)</f>
        <v>ARB8</v>
      </c>
      <c r="C10" s="1" t="str">
        <f>MID(LEFT(Table1[[#This Row],[Item]], FIND("{token}", SUBSTITUTE(Table1[[#This Row],[Item]], "-", "{token}", 2)) - 1), FIND("-", Table1[[#This Row],[Item]]) + 1, LEN(Table1[[#This Row],[Item]]))</f>
        <v>L</v>
      </c>
      <c r="D10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1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0" s="1" cm="1">
        <f t="array" ref="F10">VALUE(INDEX(_xlfn.TEXTSPLIT(Table1[[#This Row],[Item]], "-"), 5))</f>
        <v>1</v>
      </c>
      <c r="G10" s="1" cm="1">
        <f t="array" ref="G10">VALUE(INDEX(_xlfn.TEXTSPLIT(Table1[[#This Row],[Item]], "-"), 6))</f>
        <v>1</v>
      </c>
      <c r="H10" s="1" cm="1">
        <f t="array" ref="H10">VALUE(INDEX(_xlfn.TEXTSPLIT(Table1[[#This Row],[Item]], "-"), 7))</f>
        <v>0</v>
      </c>
      <c r="I10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0" s="1" t="str">
        <f>LEFT(RIGHT(Table1[[#This Row],[Item]],6),1)</f>
        <v>Y</v>
      </c>
      <c r="K10" s="1" t="str">
        <f t="shared" si="0"/>
        <v>N</v>
      </c>
      <c r="L10" s="1" t="str">
        <f>RIGHT(Table1[[#This Row],[Item]],2)</f>
        <v>CA</v>
      </c>
      <c r="M10" s="1" t="s">
        <v>19</v>
      </c>
      <c r="N10" s="3" t="s">
        <v>24</v>
      </c>
      <c r="O10" s="1"/>
    </row>
    <row r="11" spans="1:15">
      <c r="A11" t="s">
        <v>28</v>
      </c>
      <c r="B11" s="1" t="str">
        <f>LEFT(Table1[[#This Row],[Item]], FIND("-", Table1[[#This Row],[Item]]) - 1)</f>
        <v>ARB8</v>
      </c>
      <c r="C11" s="1" t="str">
        <f>MID(LEFT(Table1[[#This Row],[Item]], FIND("{token}", SUBSTITUTE(Table1[[#This Row],[Item]], "-", "{token}", 2)) - 1), FIND("-", Table1[[#This Row],[Item]]) + 1, LEN(Table1[[#This Row],[Item]]))</f>
        <v>L</v>
      </c>
      <c r="D11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1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1" s="1" cm="1">
        <f t="array" ref="F11">VALUE(INDEX(_xlfn.TEXTSPLIT(Table1[[#This Row],[Item]], "-"), 5))</f>
        <v>1</v>
      </c>
      <c r="G11" s="1" cm="1">
        <f t="array" ref="G11">VALUE(INDEX(_xlfn.TEXTSPLIT(Table1[[#This Row],[Item]], "-"), 6))</f>
        <v>1</v>
      </c>
      <c r="H11" s="1" cm="1">
        <f t="array" ref="H11">VALUE(INDEX(_xlfn.TEXTSPLIT(Table1[[#This Row],[Item]], "-"), 7))</f>
        <v>0</v>
      </c>
      <c r="I11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1" s="1" t="str">
        <f>LEFT(RIGHT(Table1[[#This Row],[Item]],6),1)</f>
        <v>Y</v>
      </c>
      <c r="K11" s="1" t="str">
        <f t="shared" si="0"/>
        <v>Y</v>
      </c>
      <c r="L11" s="1" t="str">
        <f>RIGHT(Table1[[#This Row],[Item]],2)</f>
        <v>CA</v>
      </c>
      <c r="M11" s="1" t="s">
        <v>19</v>
      </c>
      <c r="N11" s="3" t="s">
        <v>26</v>
      </c>
      <c r="O11" s="1"/>
    </row>
    <row r="12" spans="1:15">
      <c r="A12" t="s">
        <v>29</v>
      </c>
      <c r="B12" s="1" t="str">
        <f>LEFT(Table1[[#This Row],[Item]], FIND("-", Table1[[#This Row],[Item]]) - 1)</f>
        <v>ARB8</v>
      </c>
      <c r="C12" s="1" t="str">
        <f>MID(LEFT(Table1[[#This Row],[Item]], FIND("{token}", SUBSTITUTE(Table1[[#This Row],[Item]], "-", "{token}", 2)) - 1), FIND("-", Table1[[#This Row],[Item]]) + 1, LEN(Table1[[#This Row],[Item]]))</f>
        <v>L</v>
      </c>
      <c r="D1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2" s="1" cm="1">
        <f t="array" ref="F12">VALUE(INDEX(_xlfn.TEXTSPLIT(Table1[[#This Row],[Item]], "-"), 5))</f>
        <v>1</v>
      </c>
      <c r="G12" s="1" cm="1">
        <f t="array" ref="G12">VALUE(INDEX(_xlfn.TEXTSPLIT(Table1[[#This Row],[Item]], "-"), 6))</f>
        <v>0</v>
      </c>
      <c r="H12" s="1" cm="1">
        <f t="array" ref="H12">VALUE(INDEX(_xlfn.TEXTSPLIT(Table1[[#This Row],[Item]], "-"), 7))</f>
        <v>0</v>
      </c>
      <c r="I12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2" s="1" t="str">
        <f>LEFT(RIGHT(Table1[[#This Row],[Item]],6),1)</f>
        <v>N</v>
      </c>
      <c r="K12" s="1" t="str">
        <f t="shared" si="0"/>
        <v>Y</v>
      </c>
      <c r="L12" s="1" t="str">
        <f>RIGHT(Table1[[#This Row],[Item]],2)</f>
        <v>CA</v>
      </c>
      <c r="M12" s="1" t="s">
        <v>19</v>
      </c>
      <c r="N12" s="3" t="s">
        <v>26</v>
      </c>
      <c r="O12" s="1"/>
    </row>
    <row r="13" spans="1:15">
      <c r="A13" t="s">
        <v>24</v>
      </c>
      <c r="B13" s="1" t="str">
        <f>LEFT(Table1[[#This Row],[Item]], FIND("-", Table1[[#This Row],[Item]]) - 1)</f>
        <v>ARB8</v>
      </c>
      <c r="C13" s="1" t="str">
        <f>MID(LEFT(Table1[[#This Row],[Item]], FIND("{token}", SUBSTITUTE(Table1[[#This Row],[Item]], "-", "{token}", 2)) - 1), FIND("-", Table1[[#This Row],[Item]]) + 1, LEN(Table1[[#This Row],[Item]]))</f>
        <v>L</v>
      </c>
      <c r="D1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3" s="1" cm="1">
        <f t="array" ref="F13">VALUE(INDEX(_xlfn.TEXTSPLIT(Table1[[#This Row],[Item]], "-"), 5))</f>
        <v>1</v>
      </c>
      <c r="G13" s="1" cm="1">
        <f t="array" ref="G13">VALUE(INDEX(_xlfn.TEXTSPLIT(Table1[[#This Row],[Item]], "-"), 6))</f>
        <v>0</v>
      </c>
      <c r="H13" s="1" cm="1">
        <f t="array" ref="H13">VALUE(INDEX(_xlfn.TEXTSPLIT(Table1[[#This Row],[Item]], "-"), 7))</f>
        <v>0</v>
      </c>
      <c r="I13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3" s="1" t="str">
        <f>LEFT(RIGHT(Table1[[#This Row],[Item]],6),1)</f>
        <v>Y</v>
      </c>
      <c r="K13" s="1" t="str">
        <f t="shared" si="0"/>
        <v>N</v>
      </c>
      <c r="L13" s="1" t="str">
        <f>RIGHT(Table1[[#This Row],[Item]],2)</f>
        <v>CA</v>
      </c>
      <c r="M13" s="1" t="s">
        <v>16</v>
      </c>
      <c r="N13" s="3" t="s">
        <v>24</v>
      </c>
      <c r="O13" s="1">
        <v>9</v>
      </c>
    </row>
    <row r="14" spans="1:15">
      <c r="A14" t="s">
        <v>26</v>
      </c>
      <c r="B14" s="1" t="str">
        <f>LEFT(Table1[[#This Row],[Item]], FIND("-", Table1[[#This Row],[Item]]) - 1)</f>
        <v>ARB8</v>
      </c>
      <c r="C14" s="1" t="str">
        <f>MID(LEFT(Table1[[#This Row],[Item]], FIND("{token}", SUBSTITUTE(Table1[[#This Row],[Item]], "-", "{token}", 2)) - 1), FIND("-", Table1[[#This Row],[Item]]) + 1, LEN(Table1[[#This Row],[Item]]))</f>
        <v>L</v>
      </c>
      <c r="D1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4" s="1" cm="1">
        <f t="array" ref="F14">VALUE(INDEX(_xlfn.TEXTSPLIT(Table1[[#This Row],[Item]], "-"), 5))</f>
        <v>1</v>
      </c>
      <c r="G14" s="1" cm="1">
        <f t="array" ref="G14">VALUE(INDEX(_xlfn.TEXTSPLIT(Table1[[#This Row],[Item]], "-"), 6))</f>
        <v>0</v>
      </c>
      <c r="H14" s="1" cm="1">
        <f t="array" ref="H14">VALUE(INDEX(_xlfn.TEXTSPLIT(Table1[[#This Row],[Item]], "-"), 7))</f>
        <v>0</v>
      </c>
      <c r="I14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4" s="1" t="str">
        <f>LEFT(RIGHT(Table1[[#This Row],[Item]],6),1)</f>
        <v>Y</v>
      </c>
      <c r="K14" s="1" t="str">
        <f t="shared" si="0"/>
        <v>Y</v>
      </c>
      <c r="L14" s="1" t="str">
        <f>RIGHT(Table1[[#This Row],[Item]],2)</f>
        <v>CA</v>
      </c>
      <c r="M14" s="1" t="s">
        <v>16</v>
      </c>
      <c r="N14" s="3" t="s">
        <v>26</v>
      </c>
      <c r="O14" s="1">
        <v>12</v>
      </c>
    </row>
    <row r="15" spans="1:15">
      <c r="A15" t="s">
        <v>30</v>
      </c>
      <c r="B15" s="1" t="str">
        <f>LEFT(Table1[[#This Row],[Item]], FIND("-", Table1[[#This Row],[Item]]) - 1)</f>
        <v>ARB8</v>
      </c>
      <c r="C15" s="1" t="str">
        <f>MID(LEFT(Table1[[#This Row],[Item]], FIND("{token}", SUBSTITUTE(Table1[[#This Row],[Item]], "-", "{token}", 2)) - 1), FIND("-", Table1[[#This Row],[Item]]) + 1, LEN(Table1[[#This Row],[Item]]))</f>
        <v>L</v>
      </c>
      <c r="D1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5" s="1" cm="1">
        <f t="array" ref="F15">VALUE(INDEX(_xlfn.TEXTSPLIT(Table1[[#This Row],[Item]], "-"), 5))</f>
        <v>1</v>
      </c>
      <c r="G15" s="1" cm="1">
        <f t="array" ref="G15">VALUE(INDEX(_xlfn.TEXTSPLIT(Table1[[#This Row],[Item]], "-"), 6))</f>
        <v>1</v>
      </c>
      <c r="H15" s="1" cm="1">
        <f t="array" ref="H15">VALUE(INDEX(_xlfn.TEXTSPLIT(Table1[[#This Row],[Item]], "-"), 7))</f>
        <v>0</v>
      </c>
      <c r="I15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5" s="1" t="str">
        <f>LEFT(RIGHT(Table1[[#This Row],[Item]],6),1)</f>
        <v>Y</v>
      </c>
      <c r="K15" s="1" t="str">
        <f t="shared" si="0"/>
        <v>N</v>
      </c>
      <c r="L15" s="1" t="str">
        <f>RIGHT(Table1[[#This Row],[Item]],2)</f>
        <v>CA</v>
      </c>
      <c r="M15" s="1" t="s">
        <v>19</v>
      </c>
      <c r="N15" s="3" t="s">
        <v>24</v>
      </c>
      <c r="O15" s="1"/>
    </row>
    <row r="16" spans="1:15">
      <c r="A16" t="s">
        <v>31</v>
      </c>
      <c r="B16" s="1" t="str">
        <f>LEFT(Table1[[#This Row],[Item]], FIND("-", Table1[[#This Row],[Item]]) - 1)</f>
        <v>ARB8</v>
      </c>
      <c r="C16" s="1" t="str">
        <f>MID(LEFT(Table1[[#This Row],[Item]], FIND("{token}", SUBSTITUTE(Table1[[#This Row],[Item]], "-", "{token}", 2)) - 1), FIND("-", Table1[[#This Row],[Item]]) + 1, LEN(Table1[[#This Row],[Item]]))</f>
        <v>L</v>
      </c>
      <c r="D1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6" s="1" cm="1">
        <f t="array" ref="F16">VALUE(INDEX(_xlfn.TEXTSPLIT(Table1[[#This Row],[Item]], "-"), 5))</f>
        <v>1</v>
      </c>
      <c r="G16" s="1" cm="1">
        <f t="array" ref="G16">VALUE(INDEX(_xlfn.TEXTSPLIT(Table1[[#This Row],[Item]], "-"), 6))</f>
        <v>1</v>
      </c>
      <c r="H16" s="1" cm="1">
        <f t="array" ref="H16">VALUE(INDEX(_xlfn.TEXTSPLIT(Table1[[#This Row],[Item]], "-"), 7))</f>
        <v>0</v>
      </c>
      <c r="I16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6" s="1" t="str">
        <f>LEFT(RIGHT(Table1[[#This Row],[Item]],6),1)</f>
        <v>Y</v>
      </c>
      <c r="K16" s="1" t="str">
        <f t="shared" si="0"/>
        <v>Y</v>
      </c>
      <c r="L16" s="1" t="str">
        <f>RIGHT(Table1[[#This Row],[Item]],2)</f>
        <v>CA</v>
      </c>
      <c r="M16" s="1" t="s">
        <v>19</v>
      </c>
      <c r="N16" s="3" t="s">
        <v>26</v>
      </c>
      <c r="O16" s="1"/>
    </row>
    <row r="17" spans="1:15">
      <c r="A17" t="s">
        <v>32</v>
      </c>
      <c r="B17" s="1" t="str">
        <f>LEFT(Table1[[#This Row],[Item]], FIND("-", Table1[[#This Row],[Item]]) - 1)</f>
        <v>ARB8</v>
      </c>
      <c r="C17" s="1" t="str">
        <f>MID(LEFT(Table1[[#This Row],[Item]], FIND("{token}", SUBSTITUTE(Table1[[#This Row],[Item]], "-", "{token}", 2)) - 1), FIND("-", Table1[[#This Row],[Item]]) + 1, LEN(Table1[[#This Row],[Item]]))</f>
        <v>LXL</v>
      </c>
      <c r="D1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7" s="1" cm="1">
        <f t="array" ref="F17">VALUE(INDEX(_xlfn.TEXTSPLIT(Table1[[#This Row],[Item]], "-"), 5))</f>
        <v>1</v>
      </c>
      <c r="G17" s="1" cm="1">
        <f t="array" ref="G17">VALUE(INDEX(_xlfn.TEXTSPLIT(Table1[[#This Row],[Item]], "-"), 6))</f>
        <v>1</v>
      </c>
      <c r="H17" s="1" cm="1">
        <f t="array" ref="H17">VALUE(INDEX(_xlfn.TEXTSPLIT(Table1[[#This Row],[Item]], "-"), 7))</f>
        <v>0</v>
      </c>
      <c r="I17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7" s="1" t="str">
        <f>LEFT(RIGHT(Table1[[#This Row],[Item]],6),1)</f>
        <v>Y</v>
      </c>
      <c r="K17" s="1" t="str">
        <f t="shared" si="0"/>
        <v>N</v>
      </c>
      <c r="L17" s="1" t="str">
        <f>RIGHT(Table1[[#This Row],[Item]],2)</f>
        <v>CA</v>
      </c>
      <c r="M17" s="1" t="s">
        <v>33</v>
      </c>
      <c r="N17" s="3" t="s">
        <v>32</v>
      </c>
      <c r="O17" s="1"/>
    </row>
    <row r="18" spans="1:15">
      <c r="A18" t="s">
        <v>34</v>
      </c>
      <c r="B18" s="1" t="str">
        <f>LEFT(Table1[[#This Row],[Item]], FIND("-", Table1[[#This Row],[Item]]) - 1)</f>
        <v>FIREPIT</v>
      </c>
      <c r="C18" s="1" t="str">
        <f>MID(LEFT(Table1[[#This Row],[Item]], FIND("{token}", SUBSTITUTE(Table1[[#This Row],[Item]], "-", "{token}", 2)) - 1), FIND("-", Table1[[#This Row],[Item]]) + 1, LEN(Table1[[#This Row],[Item]]))</f>
        <v>N</v>
      </c>
      <c r="D1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8" s="1" cm="1">
        <f t="array" ref="F18">VALUE(INDEX(_xlfn.TEXTSPLIT(Table1[[#This Row],[Item]], "-"), 5))</f>
        <v>0</v>
      </c>
      <c r="G18" s="1" cm="1">
        <f t="array" ref="G18">VALUE(INDEX(_xlfn.TEXTSPLIT(Table1[[#This Row],[Item]], "-"), 6))</f>
        <v>0</v>
      </c>
      <c r="H18" s="1" cm="1">
        <f t="array" ref="H18">VALUE(INDEX(_xlfn.TEXTSPLIT(Table1[[#This Row],[Item]], "-"), 7))</f>
        <v>0</v>
      </c>
      <c r="I1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8" s="1" t="str">
        <f>LEFT(RIGHT(Table1[[#This Row],[Item]],6),1)</f>
        <v>N</v>
      </c>
      <c r="K18" s="1" t="str">
        <f t="shared" si="0"/>
        <v>N</v>
      </c>
      <c r="L18" s="1" t="str">
        <f>RIGHT(Table1[[#This Row],[Item]],2)</f>
        <v>CA</v>
      </c>
      <c r="M18" s="1" t="s">
        <v>16</v>
      </c>
      <c r="N18" s="3" t="s">
        <v>34</v>
      </c>
      <c r="O18" s="1">
        <v>4</v>
      </c>
    </row>
    <row r="19" spans="1:15">
      <c r="A19" t="s">
        <v>35</v>
      </c>
      <c r="B19" s="1" t="str">
        <f>LEFT(Table1[[#This Row],[Item]], FIND("-", Table1[[#This Row],[Item]]) - 1)</f>
        <v>GX03</v>
      </c>
      <c r="C19" s="1" t="str">
        <f>MID(LEFT(Table1[[#This Row],[Item]], FIND("{token}", SUBSTITUTE(Table1[[#This Row],[Item]], "-", "{token}", 2)) - 1), FIND("-", Table1[[#This Row],[Item]]) + 1, LEN(Table1[[#This Row],[Item]]))</f>
        <v>C</v>
      </c>
      <c r="D1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9" s="1" cm="1">
        <f t="array" ref="F19">VALUE(INDEX(_xlfn.TEXTSPLIT(Table1[[#This Row],[Item]], "-"), 5))</f>
        <v>0</v>
      </c>
      <c r="G19" s="1" cm="1">
        <f t="array" ref="G19">VALUE(INDEX(_xlfn.TEXTSPLIT(Table1[[#This Row],[Item]], "-"), 6))</f>
        <v>0</v>
      </c>
      <c r="H19" s="1" cm="1">
        <f t="array" ref="H19">VALUE(INDEX(_xlfn.TEXTSPLIT(Table1[[#This Row],[Item]], "-"), 7))</f>
        <v>0</v>
      </c>
      <c r="I1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9" s="1" t="str">
        <f>LEFT(RIGHT(Table1[[#This Row],[Item]],6),1)</f>
        <v>N</v>
      </c>
      <c r="K19" s="1" t="str">
        <f t="shared" si="0"/>
        <v>N</v>
      </c>
      <c r="L19" s="1" t="str">
        <f>RIGHT(Table1[[#This Row],[Item]],2)</f>
        <v>CA</v>
      </c>
      <c r="M19" s="1" t="s">
        <v>16</v>
      </c>
      <c r="N19" s="3" t="s">
        <v>35</v>
      </c>
      <c r="O19" s="1">
        <v>3</v>
      </c>
    </row>
    <row r="20" spans="1:15">
      <c r="A20" t="s">
        <v>36</v>
      </c>
      <c r="B20" s="1" t="str">
        <f>LEFT(Table1[[#This Row],[Item]], FIND("-", Table1[[#This Row],[Item]]) - 1)</f>
        <v>GX04</v>
      </c>
      <c r="C20" s="1" t="str">
        <f>MID(LEFT(Table1[[#This Row],[Item]], FIND("{token}", SUBSTITUTE(Table1[[#This Row],[Item]], "-", "{token}", 2)) - 1), FIND("-", Table1[[#This Row],[Item]]) + 1, LEN(Table1[[#This Row],[Item]]))</f>
        <v>R</v>
      </c>
      <c r="D2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20" s="1" cm="1">
        <f t="array" ref="F20">VALUE(INDEX(_xlfn.TEXTSPLIT(Table1[[#This Row],[Item]], "-"), 5))</f>
        <v>0</v>
      </c>
      <c r="G20" s="1" cm="1">
        <f t="array" ref="G20">VALUE(INDEX(_xlfn.TEXTSPLIT(Table1[[#This Row],[Item]], "-"), 6))</f>
        <v>0</v>
      </c>
      <c r="H20" s="1" cm="1">
        <f t="array" ref="H20">VALUE(INDEX(_xlfn.TEXTSPLIT(Table1[[#This Row],[Item]], "-"), 7))</f>
        <v>1</v>
      </c>
      <c r="I2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0" s="1" t="str">
        <f>LEFT(RIGHT(Table1[[#This Row],[Item]],6),1)</f>
        <v>N</v>
      </c>
      <c r="K20" s="1" t="str">
        <f t="shared" si="0"/>
        <v>N</v>
      </c>
      <c r="L20" s="1" t="str">
        <f>RIGHT(Table1[[#This Row],[Item]],2)</f>
        <v>CA</v>
      </c>
      <c r="M20" s="1" t="s">
        <v>33</v>
      </c>
      <c r="N20" s="3" t="s">
        <v>36</v>
      </c>
      <c r="O20" s="1"/>
    </row>
    <row r="21" spans="1:15">
      <c r="A21" t="s">
        <v>37</v>
      </c>
      <c r="B21" s="1" t="str">
        <f>LEFT(Table1[[#This Row],[Item]], FIND("-", Table1[[#This Row],[Item]]) - 1)</f>
        <v>GX04</v>
      </c>
      <c r="C21" s="1" t="str">
        <f>MID(LEFT(Table1[[#This Row],[Item]], FIND("{token}", SUBSTITUTE(Table1[[#This Row],[Item]], "-", "{token}", 2)) - 1), FIND("-", Table1[[#This Row],[Item]]) + 1, LEN(Table1[[#This Row],[Item]]))</f>
        <v>R</v>
      </c>
      <c r="D2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1" s="1" cm="1">
        <f t="array" ref="F21">VALUE(INDEX(_xlfn.TEXTSPLIT(Table1[[#This Row],[Item]], "-"), 5))</f>
        <v>0</v>
      </c>
      <c r="G21" s="1" cm="1">
        <f t="array" ref="G21">VALUE(INDEX(_xlfn.TEXTSPLIT(Table1[[#This Row],[Item]], "-"), 6))</f>
        <v>0</v>
      </c>
      <c r="H21" s="1" cm="1">
        <f t="array" ref="H21">VALUE(INDEX(_xlfn.TEXTSPLIT(Table1[[#This Row],[Item]], "-"), 7))</f>
        <v>0</v>
      </c>
      <c r="I2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1" s="1" t="str">
        <f>LEFT(RIGHT(Table1[[#This Row],[Item]],6),1)</f>
        <v>N</v>
      </c>
      <c r="K21" s="1" t="str">
        <f t="shared" si="0"/>
        <v>N</v>
      </c>
      <c r="L21" s="1" t="str">
        <f>RIGHT(Table1[[#This Row],[Item]],2)</f>
        <v>CA</v>
      </c>
      <c r="M21" s="1" t="s">
        <v>19</v>
      </c>
      <c r="N21" s="3" t="s">
        <v>38</v>
      </c>
      <c r="O21" s="1"/>
    </row>
    <row r="22" spans="1:15">
      <c r="A22" t="s">
        <v>39</v>
      </c>
      <c r="B22" s="1" t="str">
        <f>LEFT(Table1[[#This Row],[Item]], FIND("-", Table1[[#This Row],[Item]]) - 1)</f>
        <v>GX04</v>
      </c>
      <c r="C22" s="1" t="str">
        <f>MID(LEFT(Table1[[#This Row],[Item]], FIND("{token}", SUBSTITUTE(Table1[[#This Row],[Item]], "-", "{token}", 2)) - 1), FIND("-", Table1[[#This Row],[Item]]) + 1, LEN(Table1[[#This Row],[Item]]))</f>
        <v>R</v>
      </c>
      <c r="D22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2" s="1" cm="1">
        <f t="array" ref="F22">VALUE(INDEX(_xlfn.TEXTSPLIT(Table1[[#This Row],[Item]], "-"), 5))</f>
        <v>0</v>
      </c>
      <c r="G22" s="1" cm="1">
        <f t="array" ref="G22">VALUE(INDEX(_xlfn.TEXTSPLIT(Table1[[#This Row],[Item]], "-"), 6))</f>
        <v>1</v>
      </c>
      <c r="H22" s="1" cm="1">
        <f t="array" ref="H22">VALUE(INDEX(_xlfn.TEXTSPLIT(Table1[[#This Row],[Item]], "-"), 7))</f>
        <v>0</v>
      </c>
      <c r="I2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2" s="1" t="str">
        <f>LEFT(RIGHT(Table1[[#This Row],[Item]],6),1)</f>
        <v>N</v>
      </c>
      <c r="K22" s="1" t="str">
        <f t="shared" si="0"/>
        <v>N</v>
      </c>
      <c r="L22" s="1" t="str">
        <f>RIGHT(Table1[[#This Row],[Item]],2)</f>
        <v>CA</v>
      </c>
      <c r="M22" s="1" t="s">
        <v>19</v>
      </c>
      <c r="N22" s="3" t="s">
        <v>38</v>
      </c>
      <c r="O22" s="1"/>
    </row>
    <row r="23" spans="1:15">
      <c r="A23" t="s">
        <v>38</v>
      </c>
      <c r="B23" s="1" t="str">
        <f>LEFT(Table1[[#This Row],[Item]], FIND("-", Table1[[#This Row],[Item]]) - 1)</f>
        <v>GX04</v>
      </c>
      <c r="C23" s="1" t="str">
        <f>MID(LEFT(Table1[[#This Row],[Item]], FIND("{token}", SUBSTITUTE(Table1[[#This Row],[Item]], "-", "{token}", 2)) - 1), FIND("-", Table1[[#This Row],[Item]]) + 1, LEN(Table1[[#This Row],[Item]]))</f>
        <v>R</v>
      </c>
      <c r="D2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3" s="1" cm="1">
        <f t="array" ref="F23">VALUE(INDEX(_xlfn.TEXTSPLIT(Table1[[#This Row],[Item]], "-"), 5))</f>
        <v>0</v>
      </c>
      <c r="G23" s="1" cm="1">
        <f t="array" ref="G23">VALUE(INDEX(_xlfn.TEXTSPLIT(Table1[[#This Row],[Item]], "-"), 6))</f>
        <v>0</v>
      </c>
      <c r="H23" s="1" cm="1">
        <f t="array" ref="H23">VALUE(INDEX(_xlfn.TEXTSPLIT(Table1[[#This Row],[Item]], "-"), 7))</f>
        <v>0</v>
      </c>
      <c r="I2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3" s="1" t="str">
        <f>LEFT(RIGHT(Table1[[#This Row],[Item]],6),1)</f>
        <v>N</v>
      </c>
      <c r="K23" s="1" t="str">
        <f t="shared" si="0"/>
        <v>N</v>
      </c>
      <c r="L23" s="1" t="str">
        <f>RIGHT(Table1[[#This Row],[Item]],2)</f>
        <v>CA</v>
      </c>
      <c r="M23" s="1" t="s">
        <v>16</v>
      </c>
      <c r="N23" s="3" t="s">
        <v>38</v>
      </c>
      <c r="O23" s="1">
        <v>15</v>
      </c>
    </row>
    <row r="24" spans="1:15">
      <c r="A24" t="s">
        <v>40</v>
      </c>
      <c r="B24" s="1" t="str">
        <f>LEFT(Table1[[#This Row],[Item]], FIND("-", Table1[[#This Row],[Item]]) - 1)</f>
        <v>GX04</v>
      </c>
      <c r="C24" s="1" t="str">
        <f>MID(LEFT(Table1[[#This Row],[Item]], FIND("{token}", SUBSTITUTE(Table1[[#This Row],[Item]], "-", "{token}", 2)) - 1), FIND("-", Table1[[#This Row],[Item]]) + 1, LEN(Table1[[#This Row],[Item]]))</f>
        <v>R</v>
      </c>
      <c r="D2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4" s="1" cm="1">
        <f t="array" ref="F24">VALUE(INDEX(_xlfn.TEXTSPLIT(Table1[[#This Row],[Item]], "-"), 5))</f>
        <v>0</v>
      </c>
      <c r="G24" s="1" cm="1">
        <f t="array" ref="G24">VALUE(INDEX(_xlfn.TEXTSPLIT(Table1[[#This Row],[Item]], "-"), 6))</f>
        <v>1</v>
      </c>
      <c r="H24" s="1" cm="1">
        <f t="array" ref="H24">VALUE(INDEX(_xlfn.TEXTSPLIT(Table1[[#This Row],[Item]], "-"), 7))</f>
        <v>0</v>
      </c>
      <c r="I2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4" s="1" t="str">
        <f>LEFT(RIGHT(Table1[[#This Row],[Item]],6),1)</f>
        <v>N</v>
      </c>
      <c r="K24" s="1" t="str">
        <f t="shared" si="0"/>
        <v>N</v>
      </c>
      <c r="L24" s="1" t="str">
        <f>RIGHT(Table1[[#This Row],[Item]],2)</f>
        <v>CA</v>
      </c>
      <c r="M24" s="1" t="s">
        <v>19</v>
      </c>
      <c r="N24" s="3" t="s">
        <v>38</v>
      </c>
      <c r="O24" s="1"/>
    </row>
    <row r="25" spans="1:15">
      <c r="A25" t="s">
        <v>41</v>
      </c>
      <c r="B25" s="1" t="str">
        <f>LEFT(Table1[[#This Row],[Item]], FIND("-", Table1[[#This Row],[Item]]) - 1)</f>
        <v>GX04</v>
      </c>
      <c r="C25" s="1" t="str">
        <f>MID(LEFT(Table1[[#This Row],[Item]], FIND("{token}", SUBSTITUTE(Table1[[#This Row],[Item]], "-", "{token}", 2)) - 1), FIND("-", Table1[[#This Row],[Item]]) + 1, LEN(Table1[[#This Row],[Item]]))</f>
        <v>RXL</v>
      </c>
      <c r="D2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5" s="1" cm="1">
        <f t="array" ref="F25">VALUE(INDEX(_xlfn.TEXTSPLIT(Table1[[#This Row],[Item]], "-"), 5))</f>
        <v>0</v>
      </c>
      <c r="G25" s="1" cm="1">
        <f t="array" ref="G25">VALUE(INDEX(_xlfn.TEXTSPLIT(Table1[[#This Row],[Item]], "-"), 6))</f>
        <v>1</v>
      </c>
      <c r="H25" s="1" cm="1">
        <f t="array" ref="H25">VALUE(INDEX(_xlfn.TEXTSPLIT(Table1[[#This Row],[Item]], "-"), 7))</f>
        <v>0</v>
      </c>
      <c r="I2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5" s="1" t="str">
        <f>LEFT(RIGHT(Table1[[#This Row],[Item]],6),1)</f>
        <v>N</v>
      </c>
      <c r="K25" s="1" t="str">
        <f t="shared" si="0"/>
        <v>N</v>
      </c>
      <c r="L25" s="1" t="str">
        <f>RIGHT(Table1[[#This Row],[Item]],2)</f>
        <v>CA</v>
      </c>
      <c r="M25" s="1" t="s">
        <v>33</v>
      </c>
      <c r="N25" s="3" t="s">
        <v>41</v>
      </c>
      <c r="O25" s="1"/>
    </row>
    <row r="26" spans="1:15">
      <c r="A26" t="s">
        <v>42</v>
      </c>
      <c r="B26" s="1" t="str">
        <f>LEFT(Table1[[#This Row],[Item]], FIND("-", Table1[[#This Row],[Item]]) - 1)</f>
        <v>GX05</v>
      </c>
      <c r="C26" s="1" t="str">
        <f>MID(LEFT(Table1[[#This Row],[Item]], FIND("{token}", SUBSTITUTE(Table1[[#This Row],[Item]], "-", "{token}", 2)) - 1), FIND("-", Table1[[#This Row],[Item]]) + 1, LEN(Table1[[#This Row],[Item]]))</f>
        <v>R</v>
      </c>
      <c r="D2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6" s="1" cm="1">
        <f t="array" ref="F26">VALUE(INDEX(_xlfn.TEXTSPLIT(Table1[[#This Row],[Item]], "-"), 5))</f>
        <v>1</v>
      </c>
      <c r="G26" s="1" cm="1">
        <f t="array" ref="G26">VALUE(INDEX(_xlfn.TEXTSPLIT(Table1[[#This Row],[Item]], "-"), 6))</f>
        <v>0</v>
      </c>
      <c r="H26" s="1" cm="1">
        <f t="array" ref="H26">VALUE(INDEX(_xlfn.TEXTSPLIT(Table1[[#This Row],[Item]], "-"), 7))</f>
        <v>0</v>
      </c>
      <c r="I2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6" s="1" t="str">
        <f>LEFT(RIGHT(Table1[[#This Row],[Item]],6),1)</f>
        <v>N</v>
      </c>
      <c r="K26" s="1" t="str">
        <f t="shared" si="0"/>
        <v>N</v>
      </c>
      <c r="L26" s="1" t="str">
        <f>RIGHT(Table1[[#This Row],[Item]],2)</f>
        <v>CA</v>
      </c>
      <c r="M26" s="1" t="s">
        <v>16</v>
      </c>
      <c r="N26" s="3" t="s">
        <v>42</v>
      </c>
      <c r="O26" s="1">
        <v>15</v>
      </c>
    </row>
    <row r="27" spans="1:15">
      <c r="A27" t="s">
        <v>43</v>
      </c>
      <c r="B27" s="1" t="str">
        <f>LEFT(Table1[[#This Row],[Item]], FIND("-", Table1[[#This Row],[Item]]) - 1)</f>
        <v>GX06</v>
      </c>
      <c r="C27" s="1" t="str">
        <f>MID(LEFT(Table1[[#This Row],[Item]], FIND("{token}", SUBSTITUTE(Table1[[#This Row],[Item]], "-", "{token}", 2)) - 1), FIND("-", Table1[[#This Row],[Item]]) + 1, LEN(Table1[[#This Row],[Item]]))</f>
        <v>R</v>
      </c>
      <c r="D2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7" s="1" cm="1">
        <f t="array" ref="F27">VALUE(INDEX(_xlfn.TEXTSPLIT(Table1[[#This Row],[Item]], "-"), 5))</f>
        <v>1</v>
      </c>
      <c r="G27" s="1" cm="1">
        <f t="array" ref="G27">VALUE(INDEX(_xlfn.TEXTSPLIT(Table1[[#This Row],[Item]], "-"), 6))</f>
        <v>0</v>
      </c>
      <c r="H27" s="1" cm="1">
        <f t="array" ref="H27">VALUE(INDEX(_xlfn.TEXTSPLIT(Table1[[#This Row],[Item]], "-"), 7))</f>
        <v>0</v>
      </c>
      <c r="I2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7" s="1" t="str">
        <f>LEFT(RIGHT(Table1[[#This Row],[Item]],6),1)</f>
        <v>N</v>
      </c>
      <c r="K27" s="1" t="str">
        <f t="shared" si="0"/>
        <v>N</v>
      </c>
      <c r="L27" s="1" t="str">
        <f>RIGHT(Table1[[#This Row],[Item]],2)</f>
        <v>CA</v>
      </c>
      <c r="M27" s="1" t="s">
        <v>16</v>
      </c>
      <c r="N27" s="3" t="s">
        <v>43</v>
      </c>
      <c r="O27" s="1">
        <v>6</v>
      </c>
    </row>
    <row r="28" spans="1:15">
      <c r="A28" t="s">
        <v>44</v>
      </c>
      <c r="B28" s="1" t="str">
        <f>LEFT(Table1[[#This Row],[Item]], FIND("-", Table1[[#This Row],[Item]]) - 1)</f>
        <v>GX06</v>
      </c>
      <c r="C28" s="1" t="str">
        <f>MID(LEFT(Table1[[#This Row],[Item]], FIND("{token}", SUBSTITUTE(Table1[[#This Row],[Item]], "-", "{token}", 2)) - 1), FIND("-", Table1[[#This Row],[Item]]) + 1, LEN(Table1[[#This Row],[Item]]))</f>
        <v>R</v>
      </c>
      <c r="D2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8" s="1" cm="1">
        <f t="array" ref="F28">VALUE(INDEX(_xlfn.TEXTSPLIT(Table1[[#This Row],[Item]], "-"), 5))</f>
        <v>1</v>
      </c>
      <c r="G28" s="1" cm="1">
        <f t="array" ref="G28">VALUE(INDEX(_xlfn.TEXTSPLIT(Table1[[#This Row],[Item]], "-"), 6))</f>
        <v>1</v>
      </c>
      <c r="H28" s="1" cm="1">
        <f t="array" ref="H28">VALUE(INDEX(_xlfn.TEXTSPLIT(Table1[[#This Row],[Item]], "-"), 7))</f>
        <v>0</v>
      </c>
      <c r="I2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8" s="1" t="str">
        <f>LEFT(RIGHT(Table1[[#This Row],[Item]],6),1)</f>
        <v>N</v>
      </c>
      <c r="K28" s="1" t="str">
        <f t="shared" si="0"/>
        <v>N</v>
      </c>
      <c r="L28" s="1" t="str">
        <f>RIGHT(Table1[[#This Row],[Item]],2)</f>
        <v>CA</v>
      </c>
      <c r="M28" s="1" t="s">
        <v>19</v>
      </c>
      <c r="N28" s="3" t="s">
        <v>43</v>
      </c>
      <c r="O28" s="1"/>
    </row>
    <row r="29" spans="1:15">
      <c r="A29" t="s">
        <v>45</v>
      </c>
      <c r="B29" s="1" t="str">
        <f>LEFT(Table1[[#This Row],[Item]], FIND("-", Table1[[#This Row],[Item]]) - 1)</f>
        <v>GX06</v>
      </c>
      <c r="C29" s="1" t="str">
        <f>MID(LEFT(Table1[[#This Row],[Item]], FIND("{token}", SUBSTITUTE(Table1[[#This Row],[Item]], "-", "{token}", 2)) - 1), FIND("-", Table1[[#This Row],[Item]]) + 1, LEN(Table1[[#This Row],[Item]]))</f>
        <v>R</v>
      </c>
      <c r="D2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9" s="1" cm="1">
        <f t="array" ref="F29">VALUE(INDEX(_xlfn.TEXTSPLIT(Table1[[#This Row],[Item]], "-"), 5))</f>
        <v>0</v>
      </c>
      <c r="G29" s="1" cm="1">
        <f t="array" ref="G29">VALUE(INDEX(_xlfn.TEXTSPLIT(Table1[[#This Row],[Item]], "-"), 6))</f>
        <v>0</v>
      </c>
      <c r="H29" s="1" cm="1">
        <f t="array" ref="H29">VALUE(INDEX(_xlfn.TEXTSPLIT(Table1[[#This Row],[Item]], "-"), 7))</f>
        <v>0</v>
      </c>
      <c r="I2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9" s="1" t="str">
        <f>LEFT(RIGHT(Table1[[#This Row],[Item]],6),1)</f>
        <v>N</v>
      </c>
      <c r="K29" s="1" t="str">
        <f t="shared" si="0"/>
        <v>N</v>
      </c>
      <c r="L29" s="1" t="str">
        <f>RIGHT(Table1[[#This Row],[Item]],2)</f>
        <v>CA</v>
      </c>
      <c r="M29" s="1" t="s">
        <v>33</v>
      </c>
      <c r="N29" s="3" t="s">
        <v>45</v>
      </c>
      <c r="O29" s="1"/>
    </row>
    <row r="30" spans="1:15">
      <c r="A30" t="s">
        <v>46</v>
      </c>
      <c r="B30" s="1" t="str">
        <f>LEFT(Table1[[#This Row],[Item]], FIND("-", Table1[[#This Row],[Item]]) - 1)</f>
        <v>GX06</v>
      </c>
      <c r="C30" s="1" t="str">
        <f>MID(LEFT(Table1[[#This Row],[Item]], FIND("{token}", SUBSTITUTE(Table1[[#This Row],[Item]], "-", "{token}", 2)) - 1), FIND("-", Table1[[#This Row],[Item]]) + 1, LEN(Table1[[#This Row],[Item]]))</f>
        <v>R</v>
      </c>
      <c r="D3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0" s="1" cm="1">
        <f t="array" ref="F30">VALUE(INDEX(_xlfn.TEXTSPLIT(Table1[[#This Row],[Item]], "-"), 5))</f>
        <v>1</v>
      </c>
      <c r="G30" s="1" cm="1">
        <f t="array" ref="G30">VALUE(INDEX(_xlfn.TEXTSPLIT(Table1[[#This Row],[Item]], "-"), 6))</f>
        <v>0</v>
      </c>
      <c r="H30" s="1" cm="1">
        <f t="array" ref="H30">VALUE(INDEX(_xlfn.TEXTSPLIT(Table1[[#This Row],[Item]], "-"), 7))</f>
        <v>0</v>
      </c>
      <c r="I3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0" s="1" t="str">
        <f>LEFT(RIGHT(Table1[[#This Row],[Item]],6),1)</f>
        <v>N</v>
      </c>
      <c r="K30" s="1" t="str">
        <f t="shared" si="0"/>
        <v>N</v>
      </c>
      <c r="L30" s="1" t="str">
        <f>RIGHT(Table1[[#This Row],[Item]],2)</f>
        <v>CA</v>
      </c>
      <c r="M30" s="1" t="s">
        <v>16</v>
      </c>
      <c r="N30" s="3" t="s">
        <v>46</v>
      </c>
      <c r="O30" s="1">
        <v>15</v>
      </c>
    </row>
    <row r="31" spans="1:15">
      <c r="A31" t="s">
        <v>47</v>
      </c>
      <c r="B31" s="1" t="str">
        <f>LEFT(Table1[[#This Row],[Item]], FIND("-", Table1[[#This Row],[Item]]) - 1)</f>
        <v>GX06</v>
      </c>
      <c r="C31" s="1" t="str">
        <f>MID(LEFT(Table1[[#This Row],[Item]], FIND("{token}", SUBSTITUTE(Table1[[#This Row],[Item]], "-", "{token}", 2)) - 1), FIND("-", Table1[[#This Row],[Item]]) + 1, LEN(Table1[[#This Row],[Item]]))</f>
        <v>R</v>
      </c>
      <c r="D3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1" s="1" cm="1">
        <f t="array" ref="F31">VALUE(INDEX(_xlfn.TEXTSPLIT(Table1[[#This Row],[Item]], "-"), 5))</f>
        <v>1</v>
      </c>
      <c r="G31" s="1" cm="1">
        <f t="array" ref="G31">VALUE(INDEX(_xlfn.TEXTSPLIT(Table1[[#This Row],[Item]], "-"), 6))</f>
        <v>1</v>
      </c>
      <c r="H31" s="1" cm="1">
        <f t="array" ref="H31">VALUE(INDEX(_xlfn.TEXTSPLIT(Table1[[#This Row],[Item]], "-"), 7))</f>
        <v>0</v>
      </c>
      <c r="I3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1" s="1" t="str">
        <f>LEFT(RIGHT(Table1[[#This Row],[Item]],6),1)</f>
        <v>N</v>
      </c>
      <c r="K31" s="1" t="str">
        <f t="shared" si="0"/>
        <v>N</v>
      </c>
      <c r="L31" s="1" t="str">
        <f>RIGHT(Table1[[#This Row],[Item]],2)</f>
        <v>CA</v>
      </c>
      <c r="M31" s="1" t="s">
        <v>19</v>
      </c>
      <c r="N31" s="3" t="s">
        <v>46</v>
      </c>
      <c r="O31" s="1"/>
    </row>
    <row r="32" spans="1:15">
      <c r="A32" t="s">
        <v>48</v>
      </c>
      <c r="B32" s="1" t="str">
        <f>LEFT(Table1[[#This Row],[Item]], FIND("-", Table1[[#This Row],[Item]]) - 1)</f>
        <v>GX06</v>
      </c>
      <c r="C32" s="1" t="str">
        <f>MID(LEFT(Table1[[#This Row],[Item]], FIND("{token}", SUBSTITUTE(Table1[[#This Row],[Item]], "-", "{token}", 2)) - 1), FIND("-", Table1[[#This Row],[Item]]) + 1, LEN(Table1[[#This Row],[Item]]))</f>
        <v>R</v>
      </c>
      <c r="D32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3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2" s="1" cm="1">
        <f t="array" ref="F32">VALUE(INDEX(_xlfn.TEXTSPLIT(Table1[[#This Row],[Item]], "-"), 5))</f>
        <v>1</v>
      </c>
      <c r="G32" s="1" cm="1">
        <f t="array" ref="G32">VALUE(INDEX(_xlfn.TEXTSPLIT(Table1[[#This Row],[Item]], "-"), 6))</f>
        <v>0</v>
      </c>
      <c r="H32" s="1" cm="1">
        <f t="array" ref="H32">VALUE(INDEX(_xlfn.TEXTSPLIT(Table1[[#This Row],[Item]], "-"), 7))</f>
        <v>0</v>
      </c>
      <c r="I3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2" s="1" t="str">
        <f>LEFT(RIGHT(Table1[[#This Row],[Item]],6),1)</f>
        <v>N</v>
      </c>
      <c r="K32" s="1" t="str">
        <f t="shared" si="0"/>
        <v>N</v>
      </c>
      <c r="L32" s="1" t="str">
        <f>RIGHT(Table1[[#This Row],[Item]],2)</f>
        <v>CA</v>
      </c>
      <c r="M32" s="1" t="s">
        <v>33</v>
      </c>
      <c r="N32" s="3" t="s">
        <v>48</v>
      </c>
      <c r="O32" s="1"/>
    </row>
    <row r="33" spans="1:15">
      <c r="A33" t="s">
        <v>49</v>
      </c>
      <c r="B33" s="1" t="str">
        <f>LEFT(Table1[[#This Row],[Item]], FIND("-", Table1[[#This Row],[Item]]) - 1)</f>
        <v>GX06</v>
      </c>
      <c r="C33" s="1" t="str">
        <f>MID(LEFT(Table1[[#This Row],[Item]], FIND("{token}", SUBSTITUTE(Table1[[#This Row],[Item]], "-", "{token}", 2)) - 1), FIND("-", Table1[[#This Row],[Item]]) + 1, LEN(Table1[[#This Row],[Item]]))</f>
        <v>RXL</v>
      </c>
      <c r="D3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3" s="1" cm="1">
        <f t="array" ref="F33">VALUE(INDEX(_xlfn.TEXTSPLIT(Table1[[#This Row],[Item]], "-"), 5))</f>
        <v>0</v>
      </c>
      <c r="G33" s="1" cm="1">
        <f t="array" ref="G33">VALUE(INDEX(_xlfn.TEXTSPLIT(Table1[[#This Row],[Item]], "-"), 6))</f>
        <v>1</v>
      </c>
      <c r="H33" s="1" cm="1">
        <f t="array" ref="H33">VALUE(INDEX(_xlfn.TEXTSPLIT(Table1[[#This Row],[Item]], "-"), 7))</f>
        <v>0</v>
      </c>
      <c r="I3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3" s="1" t="str">
        <f>LEFT(RIGHT(Table1[[#This Row],[Item]],6),1)</f>
        <v>N</v>
      </c>
      <c r="K33" s="1" t="str">
        <f t="shared" si="0"/>
        <v>N</v>
      </c>
      <c r="L33" s="1" t="str">
        <f>RIGHT(Table1[[#This Row],[Item]],2)</f>
        <v>CA</v>
      </c>
      <c r="M33" s="1" t="s">
        <v>33</v>
      </c>
      <c r="N33" s="3" t="s">
        <v>49</v>
      </c>
      <c r="O33" s="1"/>
    </row>
    <row r="34" spans="1:15">
      <c r="A34" t="s">
        <v>50</v>
      </c>
      <c r="B34" s="1" t="str">
        <f>LEFT(Table1[[#This Row],[Item]], FIND("-", Table1[[#This Row],[Item]]) - 1)</f>
        <v>GX06</v>
      </c>
      <c r="C34" s="1" t="str">
        <f>MID(LEFT(Table1[[#This Row],[Item]], FIND("{token}", SUBSTITUTE(Table1[[#This Row],[Item]], "-", "{token}", 2)) - 1), FIND("-", Table1[[#This Row],[Item]]) + 1, LEN(Table1[[#This Row],[Item]]))</f>
        <v>RXL</v>
      </c>
      <c r="D3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4" s="1" cm="1">
        <f t="array" ref="F34">VALUE(INDEX(_xlfn.TEXTSPLIT(Table1[[#This Row],[Item]], "-"), 5))</f>
        <v>1</v>
      </c>
      <c r="G34" s="1" cm="1">
        <f t="array" ref="G34">VALUE(INDEX(_xlfn.TEXTSPLIT(Table1[[#This Row],[Item]], "-"), 6))</f>
        <v>0</v>
      </c>
      <c r="H34" s="1" cm="1">
        <f t="array" ref="H34">VALUE(INDEX(_xlfn.TEXTSPLIT(Table1[[#This Row],[Item]], "-"), 7))</f>
        <v>0</v>
      </c>
      <c r="I3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4" s="1" t="str">
        <f>LEFT(RIGHT(Table1[[#This Row],[Item]],6),1)</f>
        <v>N</v>
      </c>
      <c r="K34" s="1" t="str">
        <f t="shared" si="0"/>
        <v>N</v>
      </c>
      <c r="L34" s="1" t="str">
        <f>RIGHT(Table1[[#This Row],[Item]],2)</f>
        <v>CA</v>
      </c>
      <c r="M34" s="1" t="s">
        <v>33</v>
      </c>
      <c r="N34" s="3" t="s">
        <v>50</v>
      </c>
      <c r="O34" s="1"/>
    </row>
    <row r="35" spans="1:15">
      <c r="A35" t="s">
        <v>51</v>
      </c>
      <c r="B35" s="1" t="str">
        <f>LEFT(Table1[[#This Row],[Item]], FIND("-", Table1[[#This Row],[Item]]) - 1)</f>
        <v>GX08</v>
      </c>
      <c r="C35" s="1" t="str">
        <f>MID(LEFT(Table1[[#This Row],[Item]], FIND("{token}", SUBSTITUTE(Table1[[#This Row],[Item]], "-", "{token}", 2)) - 1), FIND("-", Table1[[#This Row],[Item]]) + 1, LEN(Table1[[#This Row],[Item]]))</f>
        <v>C</v>
      </c>
      <c r="D35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3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5" s="1" cm="1">
        <f t="array" ref="F35">VALUE(INDEX(_xlfn.TEXTSPLIT(Table1[[#This Row],[Item]], "-"), 5))</f>
        <v>0</v>
      </c>
      <c r="G35" s="1" cm="1">
        <f t="array" ref="G35">VALUE(INDEX(_xlfn.TEXTSPLIT(Table1[[#This Row],[Item]], "-"), 6))</f>
        <v>1</v>
      </c>
      <c r="H35" s="1" cm="1">
        <f t="array" ref="H35">VALUE(INDEX(_xlfn.TEXTSPLIT(Table1[[#This Row],[Item]], "-"), 7))</f>
        <v>0</v>
      </c>
      <c r="I3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5" s="1" t="str">
        <f>LEFT(RIGHT(Table1[[#This Row],[Item]],6),1)</f>
        <v>N</v>
      </c>
      <c r="K35" s="1" t="str">
        <f t="shared" si="0"/>
        <v>N</v>
      </c>
      <c r="L35" s="1" t="str">
        <f>RIGHT(Table1[[#This Row],[Item]],2)</f>
        <v>CA</v>
      </c>
      <c r="M35" s="1" t="s">
        <v>33</v>
      </c>
      <c r="N35" s="3" t="s">
        <v>51</v>
      </c>
      <c r="O35" s="1"/>
    </row>
    <row r="36" spans="1:15">
      <c r="A36" t="s">
        <v>52</v>
      </c>
      <c r="B36" s="1" t="str">
        <f>LEFT(Table1[[#This Row],[Item]], FIND("-", Table1[[#This Row],[Item]]) - 1)</f>
        <v>GX08</v>
      </c>
      <c r="C36" s="1" t="str">
        <f>MID(LEFT(Table1[[#This Row],[Item]], FIND("{token}", SUBSTITUTE(Table1[[#This Row],[Item]], "-", "{token}", 2)) - 1), FIND("-", Table1[[#This Row],[Item]]) + 1, LEN(Table1[[#This Row],[Item]]))</f>
        <v>C</v>
      </c>
      <c r="D36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3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6" s="1" cm="1">
        <f t="array" ref="F36">VALUE(INDEX(_xlfn.TEXTSPLIT(Table1[[#This Row],[Item]], "-"), 5))</f>
        <v>1</v>
      </c>
      <c r="G36" s="1" cm="1">
        <f t="array" ref="G36">VALUE(INDEX(_xlfn.TEXTSPLIT(Table1[[#This Row],[Item]], "-"), 6))</f>
        <v>1</v>
      </c>
      <c r="H36" s="1" cm="1">
        <f t="array" ref="H36">VALUE(INDEX(_xlfn.TEXTSPLIT(Table1[[#This Row],[Item]], "-"), 7))</f>
        <v>0</v>
      </c>
      <c r="I3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6" s="1" t="str">
        <f>LEFT(RIGHT(Table1[[#This Row],[Item]],6),1)</f>
        <v>N</v>
      </c>
      <c r="K36" s="1" t="str">
        <f t="shared" si="0"/>
        <v>N</v>
      </c>
      <c r="L36" s="1" t="str">
        <f>RIGHT(Table1[[#This Row],[Item]],2)</f>
        <v>CA</v>
      </c>
      <c r="M36" s="1" t="s">
        <v>19</v>
      </c>
      <c r="N36" s="3" t="s">
        <v>53</v>
      </c>
      <c r="O36" s="1"/>
    </row>
    <row r="37" spans="1:15">
      <c r="A37" t="s">
        <v>54</v>
      </c>
      <c r="B37" s="1" t="str">
        <f>LEFT(Table1[[#This Row],[Item]], FIND("-", Table1[[#This Row],[Item]]) - 1)</f>
        <v>GX08</v>
      </c>
      <c r="C37" s="1" t="str">
        <f>MID(LEFT(Table1[[#This Row],[Item]], FIND("{token}", SUBSTITUTE(Table1[[#This Row],[Item]], "-", "{token}", 2)) - 1), FIND("-", Table1[[#This Row],[Item]]) + 1, LEN(Table1[[#This Row],[Item]]))</f>
        <v>C</v>
      </c>
      <c r="D3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37" s="1" cm="1">
        <f t="array" ref="F37">VALUE(INDEX(_xlfn.TEXTSPLIT(Table1[[#This Row],[Item]], "-"), 5))</f>
        <v>1</v>
      </c>
      <c r="G37" s="1" cm="1">
        <f t="array" ref="G37">VALUE(INDEX(_xlfn.TEXTSPLIT(Table1[[#This Row],[Item]], "-"), 6))</f>
        <v>0</v>
      </c>
      <c r="H37" s="1" cm="1">
        <f t="array" ref="H37">VALUE(INDEX(_xlfn.TEXTSPLIT(Table1[[#This Row],[Item]], "-"), 7))</f>
        <v>1</v>
      </c>
      <c r="I3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7" s="1" t="str">
        <f>LEFT(RIGHT(Table1[[#This Row],[Item]],6),1)</f>
        <v>N</v>
      </c>
      <c r="K37" s="1" t="str">
        <f t="shared" si="0"/>
        <v>N</v>
      </c>
      <c r="L37" s="1" t="str">
        <f>RIGHT(Table1[[#This Row],[Item]],2)</f>
        <v>CA</v>
      </c>
      <c r="M37" s="1" t="s">
        <v>33</v>
      </c>
      <c r="N37" s="3" t="s">
        <v>54</v>
      </c>
      <c r="O37" s="1"/>
    </row>
    <row r="38" spans="1:15">
      <c r="A38" t="s">
        <v>55</v>
      </c>
      <c r="B38" s="1" t="str">
        <f>LEFT(Table1[[#This Row],[Item]], FIND("-", Table1[[#This Row],[Item]]) - 1)</f>
        <v>GX08</v>
      </c>
      <c r="C38" s="1" t="str">
        <f>MID(LEFT(Table1[[#This Row],[Item]], FIND("{token}", SUBSTITUTE(Table1[[#This Row],[Item]], "-", "{token}", 2)) - 1), FIND("-", Table1[[#This Row],[Item]]) + 1, LEN(Table1[[#This Row],[Item]]))</f>
        <v>C</v>
      </c>
      <c r="D3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8" s="1" cm="1">
        <f t="array" ref="F38">VALUE(INDEX(_xlfn.TEXTSPLIT(Table1[[#This Row],[Item]], "-"), 5))</f>
        <v>0</v>
      </c>
      <c r="G38" s="1" cm="1">
        <f t="array" ref="G38">VALUE(INDEX(_xlfn.TEXTSPLIT(Table1[[#This Row],[Item]], "-"), 6))</f>
        <v>0</v>
      </c>
      <c r="H38" s="1" cm="1">
        <f t="array" ref="H38">VALUE(INDEX(_xlfn.TEXTSPLIT(Table1[[#This Row],[Item]], "-"), 7))</f>
        <v>0</v>
      </c>
      <c r="I3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8" s="1" t="str">
        <f>LEFT(RIGHT(Table1[[#This Row],[Item]],6),1)</f>
        <v>N</v>
      </c>
      <c r="K38" s="1" t="str">
        <f t="shared" si="0"/>
        <v>N</v>
      </c>
      <c r="L38" s="1" t="str">
        <f>RIGHT(Table1[[#This Row],[Item]],2)</f>
        <v>CA</v>
      </c>
      <c r="M38" s="1" t="s">
        <v>33</v>
      </c>
      <c r="N38" s="3" t="s">
        <v>55</v>
      </c>
      <c r="O38" s="1"/>
    </row>
    <row r="39" spans="1:15">
      <c r="A39" t="s">
        <v>56</v>
      </c>
      <c r="B39" s="1" t="str">
        <f>LEFT(Table1[[#This Row],[Item]], FIND("-", Table1[[#This Row],[Item]]) - 1)</f>
        <v>GX08</v>
      </c>
      <c r="C39" s="1" t="str">
        <f>MID(LEFT(Table1[[#This Row],[Item]], FIND("{token}", SUBSTITUTE(Table1[[#This Row],[Item]], "-", "{token}", 2)) - 1), FIND("-", Table1[[#This Row],[Item]]) + 1, LEN(Table1[[#This Row],[Item]]))</f>
        <v>C</v>
      </c>
      <c r="D3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9" s="1" cm="1">
        <f t="array" ref="F39">VALUE(INDEX(_xlfn.TEXTSPLIT(Table1[[#This Row],[Item]], "-"), 5))</f>
        <v>1</v>
      </c>
      <c r="G39" s="1" cm="1">
        <f t="array" ref="G39">VALUE(INDEX(_xlfn.TEXTSPLIT(Table1[[#This Row],[Item]], "-"), 6))</f>
        <v>0</v>
      </c>
      <c r="H39" s="1" cm="1">
        <f t="array" ref="H39">VALUE(INDEX(_xlfn.TEXTSPLIT(Table1[[#This Row],[Item]], "-"), 7))</f>
        <v>0</v>
      </c>
      <c r="I3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9" s="1" t="str">
        <f>LEFT(RIGHT(Table1[[#This Row],[Item]],6),1)</f>
        <v>N</v>
      </c>
      <c r="K39" s="1" t="str">
        <f t="shared" si="0"/>
        <v>N</v>
      </c>
      <c r="L39" s="1" t="str">
        <f>RIGHT(Table1[[#This Row],[Item]],2)</f>
        <v>CA</v>
      </c>
      <c r="M39" s="1" t="s">
        <v>19</v>
      </c>
      <c r="N39" s="3" t="s">
        <v>53</v>
      </c>
      <c r="O39" s="1"/>
    </row>
    <row r="40" spans="1:15">
      <c r="A40" t="s">
        <v>53</v>
      </c>
      <c r="B40" s="1" t="str">
        <f>LEFT(Table1[[#This Row],[Item]], FIND("-", Table1[[#This Row],[Item]]) - 1)</f>
        <v>GX08</v>
      </c>
      <c r="C40" s="1" t="str">
        <f>MID(LEFT(Table1[[#This Row],[Item]], FIND("{token}", SUBSTITUTE(Table1[[#This Row],[Item]], "-", "{token}", 2)) - 1), FIND("-", Table1[[#This Row],[Item]]) + 1, LEN(Table1[[#This Row],[Item]]))</f>
        <v>C</v>
      </c>
      <c r="D4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0" s="1" cm="1">
        <f t="array" ref="F40">VALUE(INDEX(_xlfn.TEXTSPLIT(Table1[[#This Row],[Item]], "-"), 5))</f>
        <v>1</v>
      </c>
      <c r="G40" s="1" cm="1">
        <f t="array" ref="G40">VALUE(INDEX(_xlfn.TEXTSPLIT(Table1[[#This Row],[Item]], "-"), 6))</f>
        <v>1</v>
      </c>
      <c r="H40" s="1" cm="1">
        <f t="array" ref="H40">VALUE(INDEX(_xlfn.TEXTSPLIT(Table1[[#This Row],[Item]], "-"), 7))</f>
        <v>0</v>
      </c>
      <c r="I4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0" s="1" t="str">
        <f>LEFT(RIGHT(Table1[[#This Row],[Item]],6),1)</f>
        <v>N</v>
      </c>
      <c r="K40" s="1" t="str">
        <f t="shared" si="0"/>
        <v>N</v>
      </c>
      <c r="L40" s="1" t="str">
        <f>RIGHT(Table1[[#This Row],[Item]],2)</f>
        <v>CA</v>
      </c>
      <c r="M40" s="1" t="s">
        <v>16</v>
      </c>
      <c r="N40" s="3" t="s">
        <v>53</v>
      </c>
      <c r="O40" s="1">
        <v>15</v>
      </c>
    </row>
    <row r="41" spans="1:15">
      <c r="A41" t="s">
        <v>57</v>
      </c>
      <c r="B41" s="1" t="str">
        <f>LEFT(Table1[[#This Row],[Item]], FIND("-", Table1[[#This Row],[Item]]) - 1)</f>
        <v>GX08</v>
      </c>
      <c r="C41" s="1" t="str">
        <f>MID(LEFT(Table1[[#This Row],[Item]], FIND("{token}", SUBSTITUTE(Table1[[#This Row],[Item]], "-", "{token}", 2)) - 1), FIND("-", Table1[[#This Row],[Item]]) + 1, LEN(Table1[[#This Row],[Item]]))</f>
        <v>C</v>
      </c>
      <c r="D4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1" s="1" cm="1">
        <f t="array" ref="F41">VALUE(INDEX(_xlfn.TEXTSPLIT(Table1[[#This Row],[Item]], "-"), 5))</f>
        <v>1</v>
      </c>
      <c r="G41" s="1" cm="1">
        <f t="array" ref="G41">VALUE(INDEX(_xlfn.TEXTSPLIT(Table1[[#This Row],[Item]], "-"), 6))</f>
        <v>1</v>
      </c>
      <c r="H41" s="1" cm="1">
        <f t="array" ref="H41">VALUE(INDEX(_xlfn.TEXTSPLIT(Table1[[#This Row],[Item]], "-"), 7))</f>
        <v>1</v>
      </c>
      <c r="I4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1" s="1" t="str">
        <f>LEFT(RIGHT(Table1[[#This Row],[Item]],6),1)</f>
        <v>N</v>
      </c>
      <c r="K41" s="1" t="str">
        <f t="shared" si="0"/>
        <v>N</v>
      </c>
      <c r="L41" s="1" t="str">
        <f>RIGHT(Table1[[#This Row],[Item]],2)</f>
        <v>CA</v>
      </c>
      <c r="M41" s="1" t="s">
        <v>33</v>
      </c>
      <c r="N41" s="3" t="s">
        <v>57</v>
      </c>
      <c r="O41" s="1"/>
    </row>
    <row r="42" spans="1:15">
      <c r="A42" t="s">
        <v>58</v>
      </c>
      <c r="B42" s="1" t="str">
        <f>LEFT(Table1[[#This Row],[Item]], FIND("-", Table1[[#This Row],[Item]]) - 1)</f>
        <v>GX08</v>
      </c>
      <c r="C42" s="1" t="str">
        <f>MID(LEFT(Table1[[#This Row],[Item]], FIND("{token}", SUBSTITUTE(Table1[[#This Row],[Item]], "-", "{token}", 2)) - 1), FIND("-", Table1[[#This Row],[Item]]) + 1, LEN(Table1[[#This Row],[Item]]))</f>
        <v>CXL</v>
      </c>
      <c r="D4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2" s="1" cm="1">
        <f t="array" ref="F42">VALUE(INDEX(_xlfn.TEXTSPLIT(Table1[[#This Row],[Item]], "-"), 5))</f>
        <v>1</v>
      </c>
      <c r="G42" s="1" cm="1">
        <f t="array" ref="G42">VALUE(INDEX(_xlfn.TEXTSPLIT(Table1[[#This Row],[Item]], "-"), 6))</f>
        <v>1</v>
      </c>
      <c r="H42" s="1" cm="1">
        <f t="array" ref="H42">VALUE(INDEX(_xlfn.TEXTSPLIT(Table1[[#This Row],[Item]], "-"), 7))</f>
        <v>0</v>
      </c>
      <c r="I4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2" s="1" t="str">
        <f>LEFT(RIGHT(Table1[[#This Row],[Item]],6),1)</f>
        <v>N</v>
      </c>
      <c r="K42" s="1" t="str">
        <f t="shared" si="0"/>
        <v>N</v>
      </c>
      <c r="L42" s="1" t="str">
        <f>RIGHT(Table1[[#This Row],[Item]],2)</f>
        <v>CA</v>
      </c>
      <c r="M42" s="1" t="s">
        <v>33</v>
      </c>
      <c r="N42" s="3" t="s">
        <v>58</v>
      </c>
      <c r="O42" s="1"/>
    </row>
    <row r="43" spans="1:15">
      <c r="A43" t="s">
        <v>59</v>
      </c>
      <c r="B43" s="1" t="str">
        <f>LEFT(Table1[[#This Row],[Item]], FIND("-", Table1[[#This Row],[Item]]) - 1)</f>
        <v>GX08</v>
      </c>
      <c r="C43" s="1" t="str">
        <f>MID(LEFT(Table1[[#This Row],[Item]], FIND("{token}", SUBSTITUTE(Table1[[#This Row],[Item]], "-", "{token}", 2)) - 1), FIND("-", Table1[[#This Row],[Item]]) + 1, LEN(Table1[[#This Row],[Item]]))</f>
        <v>L</v>
      </c>
      <c r="D4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3" s="1" cm="1">
        <f t="array" ref="F43">VALUE(INDEX(_xlfn.TEXTSPLIT(Table1[[#This Row],[Item]], "-"), 5))</f>
        <v>1</v>
      </c>
      <c r="G43" s="1" cm="1">
        <f t="array" ref="G43">VALUE(INDEX(_xlfn.TEXTSPLIT(Table1[[#This Row],[Item]], "-"), 6))</f>
        <v>2</v>
      </c>
      <c r="H43" s="1" cm="1">
        <f t="array" ref="H43">VALUE(INDEX(_xlfn.TEXTSPLIT(Table1[[#This Row],[Item]], "-"), 7))</f>
        <v>0</v>
      </c>
      <c r="I4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3" s="1" t="str">
        <f>LEFT(RIGHT(Table1[[#This Row],[Item]],6),1)</f>
        <v>N</v>
      </c>
      <c r="K43" s="1" t="str">
        <f t="shared" si="0"/>
        <v>N</v>
      </c>
      <c r="L43" s="1" t="str">
        <f>RIGHT(Table1[[#This Row],[Item]],2)</f>
        <v>CA</v>
      </c>
      <c r="M43" s="1" t="s">
        <v>33</v>
      </c>
      <c r="N43" s="3" t="s">
        <v>59</v>
      </c>
      <c r="O43" s="1"/>
    </row>
    <row r="44" spans="1:15">
      <c r="A44" t="s">
        <v>60</v>
      </c>
      <c r="B44" s="1" t="str">
        <f>LEFT(Table1[[#This Row],[Item]], FIND("-", Table1[[#This Row],[Item]]) - 1)</f>
        <v>GX08</v>
      </c>
      <c r="C44" s="1" t="str">
        <f>MID(LEFT(Table1[[#This Row],[Item]], FIND("{token}", SUBSTITUTE(Table1[[#This Row],[Item]], "-", "{token}", 2)) - 1), FIND("-", Table1[[#This Row],[Item]]) + 1, LEN(Table1[[#This Row],[Item]]))</f>
        <v>R</v>
      </c>
      <c r="D44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44" s="1" cm="1">
        <f t="array" ref="F44">VALUE(INDEX(_xlfn.TEXTSPLIT(Table1[[#This Row],[Item]], "-"), 5))</f>
        <v>1</v>
      </c>
      <c r="G44" s="1" cm="1">
        <f t="array" ref="G44">VALUE(INDEX(_xlfn.TEXTSPLIT(Table1[[#This Row],[Item]], "-"), 6))</f>
        <v>0</v>
      </c>
      <c r="H44" s="1" cm="1">
        <f t="array" ref="H44">VALUE(INDEX(_xlfn.TEXTSPLIT(Table1[[#This Row],[Item]], "-"), 7))</f>
        <v>1</v>
      </c>
      <c r="I4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4" s="1" t="str">
        <f>LEFT(RIGHT(Table1[[#This Row],[Item]],6),1)</f>
        <v>N</v>
      </c>
      <c r="K44" s="1" t="str">
        <f t="shared" si="0"/>
        <v>N</v>
      </c>
      <c r="L44" s="1" t="str">
        <f>RIGHT(Table1[[#This Row],[Item]],2)</f>
        <v>CA</v>
      </c>
      <c r="M44" s="1" t="s">
        <v>33</v>
      </c>
      <c r="N44" s="3" t="s">
        <v>60</v>
      </c>
      <c r="O44" s="1"/>
    </row>
    <row r="45" spans="1:15">
      <c r="A45" t="s">
        <v>61</v>
      </c>
      <c r="B45" s="1" t="str">
        <f>LEFT(Table1[[#This Row],[Item]], FIND("-", Table1[[#This Row],[Item]]) - 1)</f>
        <v>GX08</v>
      </c>
      <c r="C45" s="1" t="str">
        <f>MID(LEFT(Table1[[#This Row],[Item]], FIND("{token}", SUBSTITUTE(Table1[[#This Row],[Item]], "-", "{token}", 2)) - 1), FIND("-", Table1[[#This Row],[Item]]) + 1, LEN(Table1[[#This Row],[Item]]))</f>
        <v>R</v>
      </c>
      <c r="D45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45" s="1" cm="1">
        <f t="array" ref="F45">VALUE(INDEX(_xlfn.TEXTSPLIT(Table1[[#This Row],[Item]], "-"), 5))</f>
        <v>1</v>
      </c>
      <c r="G45" s="1" cm="1">
        <f t="array" ref="G45">VALUE(INDEX(_xlfn.TEXTSPLIT(Table1[[#This Row],[Item]], "-"), 6))</f>
        <v>1</v>
      </c>
      <c r="H45" s="1" cm="1">
        <f t="array" ref="H45">VALUE(INDEX(_xlfn.TEXTSPLIT(Table1[[#This Row],[Item]], "-"), 7))</f>
        <v>1</v>
      </c>
      <c r="I4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5" s="1" t="str">
        <f>LEFT(RIGHT(Table1[[#This Row],[Item]],6),1)</f>
        <v>N</v>
      </c>
      <c r="K45" s="1" t="str">
        <f t="shared" si="0"/>
        <v>N</v>
      </c>
      <c r="L45" s="1" t="str">
        <f>RIGHT(Table1[[#This Row],[Item]],2)</f>
        <v>CA</v>
      </c>
      <c r="M45" s="1" t="s">
        <v>33</v>
      </c>
      <c r="N45" s="3" t="s">
        <v>61</v>
      </c>
      <c r="O45" s="1"/>
    </row>
    <row r="46" spans="1:15">
      <c r="A46" t="s">
        <v>62</v>
      </c>
      <c r="B46" s="1" t="str">
        <f>LEFT(Table1[[#This Row],[Item]], FIND("-", Table1[[#This Row],[Item]]) - 1)</f>
        <v>GX08</v>
      </c>
      <c r="C46" s="1" t="str">
        <f>MID(LEFT(Table1[[#This Row],[Item]], FIND("{token}", SUBSTITUTE(Table1[[#This Row],[Item]], "-", "{token}", 2)) - 1), FIND("-", Table1[[#This Row],[Item]]) + 1, LEN(Table1[[#This Row],[Item]]))</f>
        <v>R</v>
      </c>
      <c r="D46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6" s="1" cm="1">
        <f t="array" ref="F46">VALUE(INDEX(_xlfn.TEXTSPLIT(Table1[[#This Row],[Item]], "-"), 5))</f>
        <v>0</v>
      </c>
      <c r="G46" s="1" cm="1">
        <f t="array" ref="G46">VALUE(INDEX(_xlfn.TEXTSPLIT(Table1[[#This Row],[Item]], "-"), 6))</f>
        <v>0</v>
      </c>
      <c r="H46" s="1" cm="1">
        <f t="array" ref="H46">VALUE(INDEX(_xlfn.TEXTSPLIT(Table1[[#This Row],[Item]], "-"), 7))</f>
        <v>0</v>
      </c>
      <c r="I4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6" s="1" t="str">
        <f>LEFT(RIGHT(Table1[[#This Row],[Item]],6),1)</f>
        <v>N</v>
      </c>
      <c r="K46" s="1" t="str">
        <f t="shared" si="0"/>
        <v>N</v>
      </c>
      <c r="L46" s="1" t="str">
        <f>RIGHT(Table1[[#This Row],[Item]],2)</f>
        <v>CA</v>
      </c>
      <c r="M46" s="1" t="s">
        <v>33</v>
      </c>
      <c r="N46" s="3" t="s">
        <v>62</v>
      </c>
      <c r="O46" s="1"/>
    </row>
    <row r="47" spans="1:15">
      <c r="A47" t="s">
        <v>63</v>
      </c>
      <c r="B47" s="1" t="str">
        <f>LEFT(Table1[[#This Row],[Item]], FIND("-", Table1[[#This Row],[Item]]) - 1)</f>
        <v>GX08</v>
      </c>
      <c r="C47" s="1" t="str">
        <f>MID(LEFT(Table1[[#This Row],[Item]], FIND("{token}", SUBSTITUTE(Table1[[#This Row],[Item]], "-", "{token}", 2)) - 1), FIND("-", Table1[[#This Row],[Item]]) + 1, LEN(Table1[[#This Row],[Item]]))</f>
        <v>R</v>
      </c>
      <c r="D4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7" s="1" cm="1">
        <f t="array" ref="F47">VALUE(INDEX(_xlfn.TEXTSPLIT(Table1[[#This Row],[Item]], "-"), 5))</f>
        <v>0</v>
      </c>
      <c r="G47" s="1" cm="1">
        <f t="array" ref="G47">VALUE(INDEX(_xlfn.TEXTSPLIT(Table1[[#This Row],[Item]], "-"), 6))</f>
        <v>1</v>
      </c>
      <c r="H47" s="1" cm="1">
        <f t="array" ref="H47">VALUE(INDEX(_xlfn.TEXTSPLIT(Table1[[#This Row],[Item]], "-"), 7))</f>
        <v>0</v>
      </c>
      <c r="I4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7" s="1" t="str">
        <f>LEFT(RIGHT(Table1[[#This Row],[Item]],6),1)</f>
        <v>N</v>
      </c>
      <c r="K47" s="1" t="str">
        <f t="shared" si="0"/>
        <v>N</v>
      </c>
      <c r="L47" s="1" t="str">
        <f>RIGHT(Table1[[#This Row],[Item]],2)</f>
        <v>CA</v>
      </c>
      <c r="M47" s="1" t="s">
        <v>33</v>
      </c>
      <c r="N47" s="3" t="s">
        <v>63</v>
      </c>
      <c r="O47" s="1"/>
    </row>
    <row r="48" spans="1:15">
      <c r="A48" t="s">
        <v>64</v>
      </c>
      <c r="B48" s="1" t="str">
        <f>LEFT(Table1[[#This Row],[Item]], FIND("-", Table1[[#This Row],[Item]]) - 1)</f>
        <v>GX08</v>
      </c>
      <c r="C48" s="1" t="str">
        <f>MID(LEFT(Table1[[#This Row],[Item]], FIND("{token}", SUBSTITUTE(Table1[[#This Row],[Item]], "-", "{token}", 2)) - 1), FIND("-", Table1[[#This Row],[Item]]) + 1, LEN(Table1[[#This Row],[Item]]))</f>
        <v>R</v>
      </c>
      <c r="D4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8" s="1" cm="1">
        <f t="array" ref="F48">VALUE(INDEX(_xlfn.TEXTSPLIT(Table1[[#This Row],[Item]], "-"), 5))</f>
        <v>0</v>
      </c>
      <c r="G48" s="1" cm="1">
        <f t="array" ref="G48">VALUE(INDEX(_xlfn.TEXTSPLIT(Table1[[#This Row],[Item]], "-"), 6))</f>
        <v>2</v>
      </c>
      <c r="H48" s="1" cm="1">
        <f t="array" ref="H48">VALUE(INDEX(_xlfn.TEXTSPLIT(Table1[[#This Row],[Item]], "-"), 7))</f>
        <v>0</v>
      </c>
      <c r="I4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8" s="1" t="str">
        <f>LEFT(RIGHT(Table1[[#This Row],[Item]],6),1)</f>
        <v>N</v>
      </c>
      <c r="K48" s="1" t="str">
        <f t="shared" si="0"/>
        <v>N</v>
      </c>
      <c r="L48" s="1" t="str">
        <f>RIGHT(Table1[[#This Row],[Item]],2)</f>
        <v>CA</v>
      </c>
      <c r="M48" s="1" t="s">
        <v>33</v>
      </c>
      <c r="N48" s="3" t="s">
        <v>64</v>
      </c>
      <c r="O48" s="1"/>
    </row>
    <row r="49" spans="1:15">
      <c r="A49" t="s">
        <v>65</v>
      </c>
      <c r="B49" s="1" t="str">
        <f>LEFT(Table1[[#This Row],[Item]], FIND("-", Table1[[#This Row],[Item]]) - 1)</f>
        <v>GX08</v>
      </c>
      <c r="C49" s="1" t="str">
        <f>MID(LEFT(Table1[[#This Row],[Item]], FIND("{token}", SUBSTITUTE(Table1[[#This Row],[Item]], "-", "{token}", 2)) - 1), FIND("-", Table1[[#This Row],[Item]]) + 1, LEN(Table1[[#This Row],[Item]]))</f>
        <v>R</v>
      </c>
      <c r="D4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9" s="1" cm="1">
        <f t="array" ref="F49">VALUE(INDEX(_xlfn.TEXTSPLIT(Table1[[#This Row],[Item]], "-"), 5))</f>
        <v>1</v>
      </c>
      <c r="G49" s="1" cm="1">
        <f t="array" ref="G49">VALUE(INDEX(_xlfn.TEXTSPLIT(Table1[[#This Row],[Item]], "-"), 6))</f>
        <v>1</v>
      </c>
      <c r="H49" s="1" cm="1">
        <f t="array" ref="H49">VALUE(INDEX(_xlfn.TEXTSPLIT(Table1[[#This Row],[Item]], "-"), 7))</f>
        <v>0</v>
      </c>
      <c r="I4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9" s="1" t="str">
        <f>LEFT(RIGHT(Table1[[#This Row],[Item]],6),1)</f>
        <v>N</v>
      </c>
      <c r="K49" s="1" t="str">
        <f t="shared" si="0"/>
        <v>N</v>
      </c>
      <c r="L49" s="1" t="str">
        <f>RIGHT(Table1[[#This Row],[Item]],2)</f>
        <v>CA</v>
      </c>
      <c r="M49" s="1" t="s">
        <v>16</v>
      </c>
      <c r="N49" s="3" t="s">
        <v>65</v>
      </c>
      <c r="O49" s="1">
        <v>15</v>
      </c>
    </row>
    <row r="50" spans="1:15">
      <c r="A50" t="s">
        <v>66</v>
      </c>
      <c r="B50" s="1" t="str">
        <f>LEFT(Table1[[#This Row],[Item]], FIND("-", Table1[[#This Row],[Item]]) - 1)</f>
        <v>GX08</v>
      </c>
      <c r="C50" s="1" t="str">
        <f>MID(LEFT(Table1[[#This Row],[Item]], FIND("{token}", SUBSTITUTE(Table1[[#This Row],[Item]], "-", "{token}", 2)) - 1), FIND("-", Table1[[#This Row],[Item]]) + 1, LEN(Table1[[#This Row],[Item]]))</f>
        <v>R</v>
      </c>
      <c r="D50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5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0" s="1" cm="1">
        <f t="array" ref="F50">VALUE(INDEX(_xlfn.TEXTSPLIT(Table1[[#This Row],[Item]], "-"), 5))</f>
        <v>1</v>
      </c>
      <c r="G50" s="1" cm="1">
        <f t="array" ref="G50">VALUE(INDEX(_xlfn.TEXTSPLIT(Table1[[#This Row],[Item]], "-"), 6))</f>
        <v>1</v>
      </c>
      <c r="H50" s="1" cm="1">
        <f t="array" ref="H50">VALUE(INDEX(_xlfn.TEXTSPLIT(Table1[[#This Row],[Item]], "-"), 7))</f>
        <v>0</v>
      </c>
      <c r="I5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0" s="1" t="str">
        <f>LEFT(RIGHT(Table1[[#This Row],[Item]],6),1)</f>
        <v>N</v>
      </c>
      <c r="K50" s="1" t="str">
        <f t="shared" si="0"/>
        <v>N</v>
      </c>
      <c r="L50" s="1" t="str">
        <f>RIGHT(Table1[[#This Row],[Item]],2)</f>
        <v>CA</v>
      </c>
      <c r="M50" s="1" t="s">
        <v>33</v>
      </c>
      <c r="N50" s="3" t="s">
        <v>66</v>
      </c>
      <c r="O50" s="1"/>
    </row>
    <row r="51" spans="1:15">
      <c r="A51" t="s">
        <v>67</v>
      </c>
      <c r="B51" s="1" t="str">
        <f>LEFT(Table1[[#This Row],[Item]], FIND("-", Table1[[#This Row],[Item]]) - 1)</f>
        <v>GX08</v>
      </c>
      <c r="C51" s="1" t="str">
        <f>MID(LEFT(Table1[[#This Row],[Item]], FIND("{token}", SUBSTITUTE(Table1[[#This Row],[Item]], "-", "{token}", 2)) - 1), FIND("-", Table1[[#This Row],[Item]]) + 1, LEN(Table1[[#This Row],[Item]]))</f>
        <v>R</v>
      </c>
      <c r="D5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1" s="1" cm="1">
        <f t="array" ref="F51">VALUE(INDEX(_xlfn.TEXTSPLIT(Table1[[#This Row],[Item]], "-"), 5))</f>
        <v>0</v>
      </c>
      <c r="G51" s="1" cm="1">
        <f t="array" ref="G51">VALUE(INDEX(_xlfn.TEXTSPLIT(Table1[[#This Row],[Item]], "-"), 6))</f>
        <v>0</v>
      </c>
      <c r="H51" s="1" cm="1">
        <f t="array" ref="H51">VALUE(INDEX(_xlfn.TEXTSPLIT(Table1[[#This Row],[Item]], "-"), 7))</f>
        <v>0</v>
      </c>
      <c r="I5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1" s="1" t="str">
        <f>LEFT(RIGHT(Table1[[#This Row],[Item]],6),1)</f>
        <v>N</v>
      </c>
      <c r="K51" s="1" t="str">
        <f t="shared" si="0"/>
        <v>N</v>
      </c>
      <c r="L51" s="1" t="str">
        <f>RIGHT(Table1[[#This Row],[Item]],2)</f>
        <v>CA</v>
      </c>
      <c r="M51" s="1" t="s">
        <v>33</v>
      </c>
      <c r="N51" s="3" t="s">
        <v>67</v>
      </c>
      <c r="O51" s="1"/>
    </row>
    <row r="52" spans="1:15">
      <c r="A52" t="s">
        <v>68</v>
      </c>
      <c r="B52" s="1" t="str">
        <f>LEFT(Table1[[#This Row],[Item]], FIND("-", Table1[[#This Row],[Item]]) - 1)</f>
        <v>GX08</v>
      </c>
      <c r="C52" s="1" t="str">
        <f>MID(LEFT(Table1[[#This Row],[Item]], FIND("{token}", SUBSTITUTE(Table1[[#This Row],[Item]], "-", "{token}", 2)) - 1), FIND("-", Table1[[#This Row],[Item]]) + 1, LEN(Table1[[#This Row],[Item]]))</f>
        <v>R</v>
      </c>
      <c r="D5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2" s="1" cm="1">
        <f t="array" ref="F52">VALUE(INDEX(_xlfn.TEXTSPLIT(Table1[[#This Row],[Item]], "-"), 5))</f>
        <v>1</v>
      </c>
      <c r="G52" s="1" cm="1">
        <f t="array" ref="G52">VALUE(INDEX(_xlfn.TEXTSPLIT(Table1[[#This Row],[Item]], "-"), 6))</f>
        <v>0</v>
      </c>
      <c r="H52" s="1" cm="1">
        <f t="array" ref="H52">VALUE(INDEX(_xlfn.TEXTSPLIT(Table1[[#This Row],[Item]], "-"), 7))</f>
        <v>0</v>
      </c>
      <c r="I5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2" s="1" t="str">
        <f>LEFT(RIGHT(Table1[[#This Row],[Item]],6),1)</f>
        <v>N</v>
      </c>
      <c r="K52" s="1" t="str">
        <f t="shared" si="0"/>
        <v>N</v>
      </c>
      <c r="L52" s="1" t="str">
        <f>RIGHT(Table1[[#This Row],[Item]],2)</f>
        <v>CA</v>
      </c>
      <c r="M52" s="1" t="s">
        <v>33</v>
      </c>
      <c r="N52" s="3" t="s">
        <v>68</v>
      </c>
      <c r="O52" s="1"/>
    </row>
    <row r="53" spans="1:15">
      <c r="A53" t="s">
        <v>69</v>
      </c>
      <c r="B53" s="1" t="str">
        <f>LEFT(Table1[[#This Row],[Item]], FIND("-", Table1[[#This Row],[Item]]) - 1)</f>
        <v>GX08</v>
      </c>
      <c r="C53" s="1" t="str">
        <f>MID(LEFT(Table1[[#This Row],[Item]], FIND("{token}", SUBSTITUTE(Table1[[#This Row],[Item]], "-", "{token}", 2)) - 1), FIND("-", Table1[[#This Row],[Item]]) + 1, LEN(Table1[[#This Row],[Item]]))</f>
        <v>R</v>
      </c>
      <c r="D5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3" s="1" cm="1">
        <f t="array" ref="F53">VALUE(INDEX(_xlfn.TEXTSPLIT(Table1[[#This Row],[Item]], "-"), 5))</f>
        <v>1</v>
      </c>
      <c r="G53" s="1" cm="1">
        <f t="array" ref="G53">VALUE(INDEX(_xlfn.TEXTSPLIT(Table1[[#This Row],[Item]], "-"), 6))</f>
        <v>1</v>
      </c>
      <c r="H53" s="1" cm="1">
        <f t="array" ref="H53">VALUE(INDEX(_xlfn.TEXTSPLIT(Table1[[#This Row],[Item]], "-"), 7))</f>
        <v>0</v>
      </c>
      <c r="I5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3" s="1" t="str">
        <f>LEFT(RIGHT(Table1[[#This Row],[Item]],6),1)</f>
        <v>N</v>
      </c>
      <c r="K53" s="1" t="str">
        <f t="shared" si="0"/>
        <v>N</v>
      </c>
      <c r="L53" s="1" t="str">
        <f>RIGHT(Table1[[#This Row],[Item]],2)</f>
        <v>CA</v>
      </c>
      <c r="M53" s="1" t="s">
        <v>33</v>
      </c>
      <c r="N53" s="3" t="s">
        <v>69</v>
      </c>
      <c r="O53" s="1"/>
    </row>
    <row r="54" spans="1:15">
      <c r="A54" t="s">
        <v>70</v>
      </c>
      <c r="B54" s="1" t="str">
        <f>LEFT(Table1[[#This Row],[Item]], FIND("-", Table1[[#This Row],[Item]]) - 1)</f>
        <v>GX08</v>
      </c>
      <c r="C54" s="1" t="str">
        <f>MID(LEFT(Table1[[#This Row],[Item]], FIND("{token}", SUBSTITUTE(Table1[[#This Row],[Item]], "-", "{token}", 2)) - 1), FIND("-", Table1[[#This Row],[Item]]) + 1, LEN(Table1[[#This Row],[Item]]))</f>
        <v>R</v>
      </c>
      <c r="D54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5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4" s="1" cm="1">
        <f t="array" ref="F54">VALUE(INDEX(_xlfn.TEXTSPLIT(Table1[[#This Row],[Item]], "-"), 5))</f>
        <v>1</v>
      </c>
      <c r="G54" s="1" cm="1">
        <f t="array" ref="G54">VALUE(INDEX(_xlfn.TEXTSPLIT(Table1[[#This Row],[Item]], "-"), 6))</f>
        <v>1</v>
      </c>
      <c r="H54" s="1" cm="1">
        <f t="array" ref="H54">VALUE(INDEX(_xlfn.TEXTSPLIT(Table1[[#This Row],[Item]], "-"), 7))</f>
        <v>0</v>
      </c>
      <c r="I5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4" s="1" t="str">
        <f>LEFT(RIGHT(Table1[[#This Row],[Item]],6),1)</f>
        <v>N</v>
      </c>
      <c r="K54" s="1" t="str">
        <f t="shared" si="0"/>
        <v>N</v>
      </c>
      <c r="L54" s="1" t="str">
        <f>RIGHT(Table1[[#This Row],[Item]],2)</f>
        <v>CA</v>
      </c>
      <c r="M54" s="1" t="s">
        <v>33</v>
      </c>
      <c r="N54" s="3" t="s">
        <v>70</v>
      </c>
      <c r="O54" s="1"/>
    </row>
    <row r="55" spans="1:15">
      <c r="A55" t="s">
        <v>71</v>
      </c>
      <c r="B55" s="1" t="str">
        <f>LEFT(Table1[[#This Row],[Item]], FIND("-", Table1[[#This Row],[Item]]) - 1)</f>
        <v>GX08</v>
      </c>
      <c r="C55" s="1" t="str">
        <f>MID(LEFT(Table1[[#This Row],[Item]], FIND("{token}", SUBSTITUTE(Table1[[#This Row],[Item]], "-", "{token}", 2)) - 1), FIND("-", Table1[[#This Row],[Item]]) + 1, LEN(Table1[[#This Row],[Item]]))</f>
        <v>RXL</v>
      </c>
      <c r="D55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5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5" s="1" cm="1">
        <f t="array" ref="F55">VALUE(INDEX(_xlfn.TEXTSPLIT(Table1[[#This Row],[Item]], "-"), 5))</f>
        <v>1</v>
      </c>
      <c r="G55" s="1" cm="1">
        <f t="array" ref="G55">VALUE(INDEX(_xlfn.TEXTSPLIT(Table1[[#This Row],[Item]], "-"), 6))</f>
        <v>0</v>
      </c>
      <c r="H55" s="1" cm="1">
        <f t="array" ref="H55">VALUE(INDEX(_xlfn.TEXTSPLIT(Table1[[#This Row],[Item]], "-"), 7))</f>
        <v>1</v>
      </c>
      <c r="I5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5" s="1" t="str">
        <f>LEFT(RIGHT(Table1[[#This Row],[Item]],6),1)</f>
        <v>N</v>
      </c>
      <c r="K55" s="1" t="str">
        <f t="shared" si="0"/>
        <v>N</v>
      </c>
      <c r="L55" s="1" t="str">
        <f>RIGHT(Table1[[#This Row],[Item]],2)</f>
        <v>CA</v>
      </c>
      <c r="M55" s="1" t="s">
        <v>33</v>
      </c>
      <c r="N55" s="3" t="s">
        <v>71</v>
      </c>
      <c r="O55" s="1"/>
    </row>
    <row r="56" spans="1:15">
      <c r="A56" t="s">
        <v>72</v>
      </c>
      <c r="B56" s="1" t="str">
        <f>LEFT(Table1[[#This Row],[Item]], FIND("-", Table1[[#This Row],[Item]]) - 1)</f>
        <v>GX08</v>
      </c>
      <c r="C56" s="1" t="str">
        <f>MID(LEFT(Table1[[#This Row],[Item]], FIND("{token}", SUBSTITUTE(Table1[[#This Row],[Item]], "-", "{token}", 2)) - 1), FIND("-", Table1[[#This Row],[Item]]) + 1, LEN(Table1[[#This Row],[Item]]))</f>
        <v>RXL</v>
      </c>
      <c r="D56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5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6" s="1" cm="1">
        <f t="array" ref="F56">VALUE(INDEX(_xlfn.TEXTSPLIT(Table1[[#This Row],[Item]], "-"), 5))</f>
        <v>1</v>
      </c>
      <c r="G56" s="1" cm="1">
        <f t="array" ref="G56">VALUE(INDEX(_xlfn.TEXTSPLIT(Table1[[#This Row],[Item]], "-"), 6))</f>
        <v>1</v>
      </c>
      <c r="H56" s="1" cm="1">
        <f t="array" ref="H56">VALUE(INDEX(_xlfn.TEXTSPLIT(Table1[[#This Row],[Item]], "-"), 7))</f>
        <v>0</v>
      </c>
      <c r="I5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6" s="1" t="str">
        <f>LEFT(RIGHT(Table1[[#This Row],[Item]],6),1)</f>
        <v>N</v>
      </c>
      <c r="K56" s="1" t="str">
        <f t="shared" si="0"/>
        <v>N</v>
      </c>
      <c r="L56" s="1" t="str">
        <f>RIGHT(Table1[[#This Row],[Item]],2)</f>
        <v>CA</v>
      </c>
      <c r="M56" s="1" t="s">
        <v>33</v>
      </c>
      <c r="N56" s="3" t="s">
        <v>72</v>
      </c>
      <c r="O56" s="1"/>
    </row>
    <row r="57" spans="1:15">
      <c r="A57" t="s">
        <v>73</v>
      </c>
      <c r="B57" s="1" t="str">
        <f>LEFT(Table1[[#This Row],[Item]], FIND("-", Table1[[#This Row],[Item]]) - 1)</f>
        <v>GX08</v>
      </c>
      <c r="C57" s="1" t="str">
        <f>MID(LEFT(Table1[[#This Row],[Item]], FIND("{token}", SUBSTITUTE(Table1[[#This Row],[Item]], "-", "{token}", 2)) - 1), FIND("-", Table1[[#This Row],[Item]]) + 1, LEN(Table1[[#This Row],[Item]]))</f>
        <v>RXL</v>
      </c>
      <c r="D5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5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7" s="1" cm="1">
        <f t="array" ref="F57">VALUE(INDEX(_xlfn.TEXTSPLIT(Table1[[#This Row],[Item]], "-"), 5))</f>
        <v>1</v>
      </c>
      <c r="G57" s="1" cm="1">
        <f t="array" ref="G57">VALUE(INDEX(_xlfn.TEXTSPLIT(Table1[[#This Row],[Item]], "-"), 6))</f>
        <v>1</v>
      </c>
      <c r="H57" s="1" cm="1">
        <f t="array" ref="H57">VALUE(INDEX(_xlfn.TEXTSPLIT(Table1[[#This Row],[Item]], "-"), 7))</f>
        <v>1</v>
      </c>
      <c r="I5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7" s="1" t="str">
        <f>LEFT(RIGHT(Table1[[#This Row],[Item]],6),1)</f>
        <v>N</v>
      </c>
      <c r="K57" s="1" t="str">
        <f t="shared" si="0"/>
        <v>N</v>
      </c>
      <c r="L57" s="1" t="str">
        <f>RIGHT(Table1[[#This Row],[Item]],2)</f>
        <v>CA</v>
      </c>
      <c r="M57" s="1" t="s">
        <v>33</v>
      </c>
      <c r="N57" s="3" t="s">
        <v>73</v>
      </c>
      <c r="O57" s="1"/>
    </row>
    <row r="58" spans="1:15">
      <c r="A58" s="5" t="s">
        <v>74</v>
      </c>
      <c r="B58" s="1" t="str">
        <f>LEFT(Table1[[#This Row],[Item]], FIND("-", Table1[[#This Row],[Item]]) - 1)</f>
        <v>GX08</v>
      </c>
      <c r="C58" s="1" t="str">
        <f>MID(LEFT(Table1[[#This Row],[Item]], FIND("{token}", SUBSTITUTE(Table1[[#This Row],[Item]], "-", "{token}", 2)) - 1), FIND("-", Table1[[#This Row],[Item]]) + 1, LEN(Table1[[#This Row],[Item]]))</f>
        <v>RXL</v>
      </c>
      <c r="D5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5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8" s="1" cm="1">
        <f t="array" ref="F58">VALUE(INDEX(_xlfn.TEXTSPLIT(Table1[[#This Row],[Item]], "-"), 5))</f>
        <v>1</v>
      </c>
      <c r="G58" s="1" cm="1">
        <f t="array" ref="G58">VALUE(INDEX(_xlfn.TEXTSPLIT(Table1[[#This Row],[Item]], "-"), 6))</f>
        <v>0</v>
      </c>
      <c r="H58" s="1" cm="1">
        <f t="array" ref="H58">VALUE(INDEX(_xlfn.TEXTSPLIT(Table1[[#This Row],[Item]], "-"), 7))</f>
        <v>1</v>
      </c>
      <c r="I5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8" s="1" t="str">
        <f>LEFT(RIGHT(Table1[[#This Row],[Item]],6),1)</f>
        <v>N</v>
      </c>
      <c r="K58" s="1" t="str">
        <f t="shared" si="0"/>
        <v>N</v>
      </c>
      <c r="L58" s="1" t="str">
        <f>RIGHT(Table1[[#This Row],[Item]],2)</f>
        <v>CA</v>
      </c>
      <c r="M58" s="1" t="s">
        <v>33</v>
      </c>
      <c r="N58" s="3" t="s">
        <v>74</v>
      </c>
      <c r="O58" s="1"/>
    </row>
    <row r="59" spans="1:15">
      <c r="A59" t="s">
        <v>75</v>
      </c>
      <c r="B59" s="1" t="str">
        <f>LEFT(Table1[[#This Row],[Item]], FIND("-", Table1[[#This Row],[Item]]) - 1)</f>
        <v>GX08</v>
      </c>
      <c r="C59" s="1" t="str">
        <f>MID(LEFT(Table1[[#This Row],[Item]], FIND("{token}", SUBSTITUTE(Table1[[#This Row],[Item]], "-", "{token}", 2)) - 1), FIND("-", Table1[[#This Row],[Item]]) + 1, LEN(Table1[[#This Row],[Item]]))</f>
        <v>RXL</v>
      </c>
      <c r="D5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5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9" s="1" cm="1">
        <f t="array" ref="F59">VALUE(INDEX(_xlfn.TEXTSPLIT(Table1[[#This Row],[Item]], "-"), 5))</f>
        <v>1</v>
      </c>
      <c r="G59" s="1" cm="1">
        <f t="array" ref="G59">VALUE(INDEX(_xlfn.TEXTSPLIT(Table1[[#This Row],[Item]], "-"), 6))</f>
        <v>1</v>
      </c>
      <c r="H59" s="1" cm="1">
        <f t="array" ref="H59">VALUE(INDEX(_xlfn.TEXTSPLIT(Table1[[#This Row],[Item]], "-"), 7))</f>
        <v>0</v>
      </c>
      <c r="I5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9" s="1" t="str">
        <f>LEFT(RIGHT(Table1[[#This Row],[Item]],6),1)</f>
        <v>N</v>
      </c>
      <c r="K59" s="1" t="str">
        <f t="shared" si="0"/>
        <v>N</v>
      </c>
      <c r="L59" s="1" t="str">
        <f>RIGHT(Table1[[#This Row],[Item]],2)</f>
        <v>CA</v>
      </c>
      <c r="M59" s="1" t="s">
        <v>33</v>
      </c>
      <c r="N59" s="3" t="s">
        <v>75</v>
      </c>
      <c r="O59" s="1"/>
    </row>
    <row r="60" spans="1:15">
      <c r="A60" t="s">
        <v>76</v>
      </c>
      <c r="B60" s="1" t="str">
        <f>LEFT(Table1[[#This Row],[Item]], FIND("-", Table1[[#This Row],[Item]]) - 1)</f>
        <v>GX08</v>
      </c>
      <c r="C60" s="1" t="str">
        <f>MID(LEFT(Table1[[#This Row],[Item]], FIND("{token}", SUBSTITUTE(Table1[[#This Row],[Item]], "-", "{token}", 2)) - 1), FIND("-", Table1[[#This Row],[Item]]) + 1, LEN(Table1[[#This Row],[Item]]))</f>
        <v>RXL</v>
      </c>
      <c r="D6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6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0" s="1" cm="1">
        <f t="array" ref="F60">VALUE(INDEX(_xlfn.TEXTSPLIT(Table1[[#This Row],[Item]], "-"), 5))</f>
        <v>1</v>
      </c>
      <c r="G60" s="1" cm="1">
        <f t="array" ref="G60">VALUE(INDEX(_xlfn.TEXTSPLIT(Table1[[#This Row],[Item]], "-"), 6))</f>
        <v>1</v>
      </c>
      <c r="H60" s="1" cm="1">
        <f t="array" ref="H60">VALUE(INDEX(_xlfn.TEXTSPLIT(Table1[[#This Row],[Item]], "-"), 7))</f>
        <v>1</v>
      </c>
      <c r="I6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0" s="1" t="str">
        <f>LEFT(RIGHT(Table1[[#This Row],[Item]],6),1)</f>
        <v>N</v>
      </c>
      <c r="K60" s="1" t="str">
        <f t="shared" si="0"/>
        <v>N</v>
      </c>
      <c r="L60" s="1" t="str">
        <f>RIGHT(Table1[[#This Row],[Item]],2)</f>
        <v>CA</v>
      </c>
      <c r="M60" s="1" t="s">
        <v>33</v>
      </c>
      <c r="N60" s="3" t="s">
        <v>76</v>
      </c>
      <c r="O60" s="1"/>
    </row>
    <row r="61" spans="1:15">
      <c r="A61" t="s">
        <v>77</v>
      </c>
      <c r="B61" s="1" t="str">
        <f>LEFT(Table1[[#This Row],[Item]], FIND("-", Table1[[#This Row],[Item]]) - 1)</f>
        <v>GX08</v>
      </c>
      <c r="C61" s="1" t="str">
        <f>MID(LEFT(Table1[[#This Row],[Item]], FIND("{token}", SUBSTITUTE(Table1[[#This Row],[Item]], "-", "{token}", 2)) - 1), FIND("-", Table1[[#This Row],[Item]]) + 1, LEN(Table1[[#This Row],[Item]]))</f>
        <v>RXL</v>
      </c>
      <c r="D6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61" s="1" cm="1">
        <f t="array" ref="F61">VALUE(INDEX(_xlfn.TEXTSPLIT(Table1[[#This Row],[Item]], "-"), 5))</f>
        <v>1</v>
      </c>
      <c r="G61" s="1" cm="1">
        <f t="array" ref="G61">VALUE(INDEX(_xlfn.TEXTSPLIT(Table1[[#This Row],[Item]], "-"), 6))</f>
        <v>1</v>
      </c>
      <c r="H61" s="1" cm="1">
        <f t="array" ref="H61">VALUE(INDEX(_xlfn.TEXTSPLIT(Table1[[#This Row],[Item]], "-"), 7))</f>
        <v>0</v>
      </c>
      <c r="I6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1" s="1" t="str">
        <f>LEFT(RIGHT(Table1[[#This Row],[Item]],6),1)</f>
        <v>N</v>
      </c>
      <c r="K61" s="1" t="str">
        <f t="shared" si="0"/>
        <v>N</v>
      </c>
      <c r="L61" s="1" t="str">
        <f>RIGHT(Table1[[#This Row],[Item]],2)</f>
        <v>CA</v>
      </c>
      <c r="M61" s="1" t="s">
        <v>33</v>
      </c>
      <c r="N61" s="3" t="s">
        <v>77</v>
      </c>
      <c r="O61" s="1"/>
    </row>
    <row r="62" spans="1:15">
      <c r="A62" t="s">
        <v>78</v>
      </c>
      <c r="B62" s="1" t="str">
        <f>LEFT(Table1[[#This Row],[Item]], FIND("-", Table1[[#This Row],[Item]]) - 1)</f>
        <v>GX08</v>
      </c>
      <c r="C62" s="1" t="str">
        <f>MID(LEFT(Table1[[#This Row],[Item]], FIND("{token}", SUBSTITUTE(Table1[[#This Row],[Item]], "-", "{token}", 2)) - 1), FIND("-", Table1[[#This Row],[Item]]) + 1, LEN(Table1[[#This Row],[Item]]))</f>
        <v>RXL</v>
      </c>
      <c r="D6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62" s="1" cm="1">
        <f t="array" ref="F62">VALUE(INDEX(_xlfn.TEXTSPLIT(Table1[[#This Row],[Item]], "-"), 5))</f>
        <v>1</v>
      </c>
      <c r="G62" s="1" cm="1">
        <f t="array" ref="G62">VALUE(INDEX(_xlfn.TEXTSPLIT(Table1[[#This Row],[Item]], "-"), 6))</f>
        <v>1</v>
      </c>
      <c r="H62" s="1" cm="1">
        <f t="array" ref="H62">VALUE(INDEX(_xlfn.TEXTSPLIT(Table1[[#This Row],[Item]], "-"), 7))</f>
        <v>1</v>
      </c>
      <c r="I6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2" s="1" t="str">
        <f>LEFT(RIGHT(Table1[[#This Row],[Item]],6),1)</f>
        <v>N</v>
      </c>
      <c r="K62" s="1" t="str">
        <f t="shared" si="0"/>
        <v>N</v>
      </c>
      <c r="L62" s="1" t="str">
        <f>RIGHT(Table1[[#This Row],[Item]],2)</f>
        <v>CA</v>
      </c>
      <c r="M62" s="1" t="s">
        <v>33</v>
      </c>
      <c r="N62" s="3" t="s">
        <v>78</v>
      </c>
      <c r="O62" s="1"/>
    </row>
    <row r="63" spans="1:15">
      <c r="A63" t="s">
        <v>79</v>
      </c>
      <c r="B63" s="1" t="str">
        <f>LEFT(Table1[[#This Row],[Item]], FIND("-", Table1[[#This Row],[Item]]) - 1)</f>
        <v>GX08</v>
      </c>
      <c r="C63" s="1" t="str">
        <f>MID(LEFT(Table1[[#This Row],[Item]], FIND("{token}", SUBSTITUTE(Table1[[#This Row],[Item]], "-", "{token}", 2)) - 1), FIND("-", Table1[[#This Row],[Item]]) + 1, LEN(Table1[[#This Row],[Item]]))</f>
        <v>RXL</v>
      </c>
      <c r="D6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3" s="1" cm="1">
        <f t="array" ref="F63">VALUE(INDEX(_xlfn.TEXTSPLIT(Table1[[#This Row],[Item]], "-"), 5))</f>
        <v>1</v>
      </c>
      <c r="G63" s="1" cm="1">
        <f t="array" ref="G63">VALUE(INDEX(_xlfn.TEXTSPLIT(Table1[[#This Row],[Item]], "-"), 6))</f>
        <v>0</v>
      </c>
      <c r="H63" s="1" cm="1">
        <f t="array" ref="H63">VALUE(INDEX(_xlfn.TEXTSPLIT(Table1[[#This Row],[Item]], "-"), 7))</f>
        <v>1</v>
      </c>
      <c r="I6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3" s="1" t="str">
        <f>LEFT(RIGHT(Table1[[#This Row],[Item]],6),1)</f>
        <v>N</v>
      </c>
      <c r="K63" s="1" t="str">
        <f t="shared" si="0"/>
        <v>N</v>
      </c>
      <c r="L63" s="1" t="str">
        <f>RIGHT(Table1[[#This Row],[Item]],2)</f>
        <v>CA</v>
      </c>
      <c r="M63" s="1" t="s">
        <v>33</v>
      </c>
      <c r="N63" s="3" t="s">
        <v>79</v>
      </c>
      <c r="O63" s="1"/>
    </row>
    <row r="64" spans="1:15">
      <c r="A64" t="s">
        <v>80</v>
      </c>
      <c r="B64" s="1" t="str">
        <f>LEFT(Table1[[#This Row],[Item]], FIND("-", Table1[[#This Row],[Item]]) - 1)</f>
        <v>GX08</v>
      </c>
      <c r="C64" s="1" t="str">
        <f>MID(LEFT(Table1[[#This Row],[Item]], FIND("{token}", SUBSTITUTE(Table1[[#This Row],[Item]], "-", "{token}", 2)) - 1), FIND("-", Table1[[#This Row],[Item]]) + 1, LEN(Table1[[#This Row],[Item]]))</f>
        <v>RXL</v>
      </c>
      <c r="D6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4" s="1" cm="1">
        <f t="array" ref="F64">VALUE(INDEX(_xlfn.TEXTSPLIT(Table1[[#This Row],[Item]], "-"), 5))</f>
        <v>1</v>
      </c>
      <c r="G64" s="1" cm="1">
        <f t="array" ref="G64">VALUE(INDEX(_xlfn.TEXTSPLIT(Table1[[#This Row],[Item]], "-"), 6))</f>
        <v>1</v>
      </c>
      <c r="H64" s="1" cm="1">
        <f t="array" ref="H64">VALUE(INDEX(_xlfn.TEXTSPLIT(Table1[[#This Row],[Item]], "-"), 7))</f>
        <v>0</v>
      </c>
      <c r="I6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4" s="1" t="str">
        <f>LEFT(RIGHT(Table1[[#This Row],[Item]],6),1)</f>
        <v>N</v>
      </c>
      <c r="K64" s="1" t="str">
        <f t="shared" si="0"/>
        <v>N</v>
      </c>
      <c r="L64" s="1" t="str">
        <f>RIGHT(Table1[[#This Row],[Item]],2)</f>
        <v>CA</v>
      </c>
      <c r="M64" s="1" t="s">
        <v>33</v>
      </c>
      <c r="N64" s="3" t="s">
        <v>80</v>
      </c>
      <c r="O64" s="1"/>
    </row>
    <row r="65" spans="1:15">
      <c r="A65" t="s">
        <v>81</v>
      </c>
      <c r="B65" s="1" t="str">
        <f>LEFT(Table1[[#This Row],[Item]], FIND("-", Table1[[#This Row],[Item]]) - 1)</f>
        <v>GX08</v>
      </c>
      <c r="C65" s="1" t="str">
        <f>MID(LEFT(Table1[[#This Row],[Item]], FIND("{token}", SUBSTITUTE(Table1[[#This Row],[Item]], "-", "{token}", 2)) - 1), FIND("-", Table1[[#This Row],[Item]]) + 1, LEN(Table1[[#This Row],[Item]]))</f>
        <v>RXL</v>
      </c>
      <c r="D6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5" s="1" cm="1">
        <f t="array" ref="F65">VALUE(INDEX(_xlfn.TEXTSPLIT(Table1[[#This Row],[Item]], "-"), 5))</f>
        <v>1</v>
      </c>
      <c r="G65" s="1" cm="1">
        <f t="array" ref="G65">VALUE(INDEX(_xlfn.TEXTSPLIT(Table1[[#This Row],[Item]], "-"), 6))</f>
        <v>1</v>
      </c>
      <c r="H65" s="1" cm="1">
        <f t="array" ref="H65">VALUE(INDEX(_xlfn.TEXTSPLIT(Table1[[#This Row],[Item]], "-"), 7))</f>
        <v>1</v>
      </c>
      <c r="I6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5" s="1" t="str">
        <f>LEFT(RIGHT(Table1[[#This Row],[Item]],6),1)</f>
        <v>N</v>
      </c>
      <c r="K65" s="1" t="str">
        <f t="shared" si="0"/>
        <v>N</v>
      </c>
      <c r="L65" s="1" t="str">
        <f>RIGHT(Table1[[#This Row],[Item]],2)</f>
        <v>CA</v>
      </c>
      <c r="M65" s="1" t="s">
        <v>33</v>
      </c>
      <c r="N65" s="3" t="s">
        <v>81</v>
      </c>
      <c r="O65" s="1"/>
    </row>
    <row r="66" spans="1:15">
      <c r="A66" t="s">
        <v>82</v>
      </c>
      <c r="B66" s="1" t="str">
        <f>LEFT(Table1[[#This Row],[Item]], FIND("-", Table1[[#This Row],[Item]]) - 1)</f>
        <v>GX09</v>
      </c>
      <c r="C66" s="1" t="str">
        <f>MID(LEFT(Table1[[#This Row],[Item]], FIND("{token}", SUBSTITUTE(Table1[[#This Row],[Item]], "-", "{token}", 2)) - 1), FIND("-", Table1[[#This Row],[Item]]) + 1, LEN(Table1[[#This Row],[Item]]))</f>
        <v>D</v>
      </c>
      <c r="D66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6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6" s="1" cm="1">
        <f t="array" ref="F66">VALUE(INDEX(_xlfn.TEXTSPLIT(Table1[[#This Row],[Item]], "-"), 5))</f>
        <v>0</v>
      </c>
      <c r="G66" s="1" cm="1">
        <f t="array" ref="G66">VALUE(INDEX(_xlfn.TEXTSPLIT(Table1[[#This Row],[Item]], "-"), 6))</f>
        <v>1</v>
      </c>
      <c r="H66" s="1" cm="1">
        <f t="array" ref="H66">VALUE(INDEX(_xlfn.TEXTSPLIT(Table1[[#This Row],[Item]], "-"), 7))</f>
        <v>1</v>
      </c>
      <c r="I6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6" s="1" t="str">
        <f>LEFT(RIGHT(Table1[[#This Row],[Item]],6),1)</f>
        <v>N</v>
      </c>
      <c r="K66" s="1" t="str">
        <f t="shared" ref="K66:K129" si="1">MID(A66, LEN(A66)-3, 1)</f>
        <v>N</v>
      </c>
      <c r="L66" s="1" t="str">
        <f>RIGHT(Table1[[#This Row],[Item]],2)</f>
        <v>CA</v>
      </c>
      <c r="M66" s="1" t="s">
        <v>33</v>
      </c>
      <c r="N66" s="3" t="s">
        <v>82</v>
      </c>
      <c r="O66" s="1"/>
    </row>
    <row r="67" spans="1:15">
      <c r="A67" s="5" t="s">
        <v>83</v>
      </c>
      <c r="B67" s="1" t="str">
        <f>LEFT(Table1[[#This Row],[Item]], FIND("-", Table1[[#This Row],[Item]]) - 1)</f>
        <v>GX09</v>
      </c>
      <c r="C67" s="1" t="str">
        <f>MID(LEFT(Table1[[#This Row],[Item]], FIND("{token}", SUBSTITUTE(Table1[[#This Row],[Item]], "-", "{token}", 2)) - 1), FIND("-", Table1[[#This Row],[Item]]) + 1, LEN(Table1[[#This Row],[Item]]))</f>
        <v>D</v>
      </c>
      <c r="D6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6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67" s="1" cm="1">
        <f t="array" ref="F67">VALUE(INDEX(_xlfn.TEXTSPLIT(Table1[[#This Row],[Item]], "-"), 5))</f>
        <v>0</v>
      </c>
      <c r="G67" s="1" cm="1">
        <f t="array" ref="G67">VALUE(INDEX(_xlfn.TEXTSPLIT(Table1[[#This Row],[Item]], "-"), 6))</f>
        <v>0</v>
      </c>
      <c r="H67" s="1" cm="1">
        <f t="array" ref="H67">VALUE(INDEX(_xlfn.TEXTSPLIT(Table1[[#This Row],[Item]], "-"), 7))</f>
        <v>0</v>
      </c>
      <c r="I6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7" s="1" t="str">
        <f>LEFT(RIGHT(Table1[[#This Row],[Item]],6),1)</f>
        <v>N</v>
      </c>
      <c r="K67" s="1" t="str">
        <f t="shared" si="1"/>
        <v>N</v>
      </c>
      <c r="L67" s="1" t="str">
        <f>RIGHT(Table1[[#This Row],[Item]],2)</f>
        <v>CA</v>
      </c>
      <c r="M67" s="1" t="s">
        <v>19</v>
      </c>
      <c r="N67" s="3" t="s">
        <v>84</v>
      </c>
      <c r="O67" s="1"/>
    </row>
    <row r="68" spans="1:15">
      <c r="A68" s="5" t="s">
        <v>85</v>
      </c>
      <c r="B68" s="1" t="str">
        <f>LEFT(Table1[[#This Row],[Item]], FIND("-", Table1[[#This Row],[Item]]) - 1)</f>
        <v>GX09</v>
      </c>
      <c r="C68" s="1" t="str">
        <f>MID(LEFT(Table1[[#This Row],[Item]], FIND("{token}", SUBSTITUTE(Table1[[#This Row],[Item]], "-", "{token}", 2)) - 1), FIND("-", Table1[[#This Row],[Item]]) + 1, LEN(Table1[[#This Row],[Item]]))</f>
        <v>D</v>
      </c>
      <c r="D6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6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68" s="1" cm="1">
        <f t="array" ref="F68">VALUE(INDEX(_xlfn.TEXTSPLIT(Table1[[#This Row],[Item]], "-"), 5))</f>
        <v>0</v>
      </c>
      <c r="G68" s="1" cm="1">
        <f t="array" ref="G68">VALUE(INDEX(_xlfn.TEXTSPLIT(Table1[[#This Row],[Item]], "-"), 6))</f>
        <v>1</v>
      </c>
      <c r="H68" s="1" cm="1">
        <f t="array" ref="H68">VALUE(INDEX(_xlfn.TEXTSPLIT(Table1[[#This Row],[Item]], "-"), 7))</f>
        <v>0</v>
      </c>
      <c r="I6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8" s="1" t="str">
        <f>LEFT(RIGHT(Table1[[#This Row],[Item]],6),1)</f>
        <v>N</v>
      </c>
      <c r="K68" s="1" t="str">
        <f t="shared" si="1"/>
        <v>N</v>
      </c>
      <c r="L68" s="1" t="str">
        <f>RIGHT(Table1[[#This Row],[Item]],2)</f>
        <v>CA</v>
      </c>
      <c r="M68" s="1" t="s">
        <v>19</v>
      </c>
      <c r="N68" s="3" t="s">
        <v>84</v>
      </c>
      <c r="O68" s="1"/>
    </row>
    <row r="69" spans="1:15">
      <c r="A69" s="5" t="s">
        <v>86</v>
      </c>
      <c r="B69" s="1" t="str">
        <f>LEFT(Table1[[#This Row],[Item]], FIND("-", Table1[[#This Row],[Item]]) - 1)</f>
        <v>GX09</v>
      </c>
      <c r="C69" s="1" t="str">
        <f>MID(LEFT(Table1[[#This Row],[Item]], FIND("{token}", SUBSTITUTE(Table1[[#This Row],[Item]], "-", "{token}", 2)) - 1), FIND("-", Table1[[#This Row],[Item]]) + 1, LEN(Table1[[#This Row],[Item]]))</f>
        <v>D</v>
      </c>
      <c r="D6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6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69" s="1" cm="1">
        <f t="array" ref="F69">VALUE(INDEX(_xlfn.TEXTSPLIT(Table1[[#This Row],[Item]], "-"), 5))</f>
        <v>0</v>
      </c>
      <c r="G69" s="1" cm="1">
        <f t="array" ref="G69">VALUE(INDEX(_xlfn.TEXTSPLIT(Table1[[#This Row],[Item]], "-"), 6))</f>
        <v>2</v>
      </c>
      <c r="H69" s="1" cm="1">
        <f t="array" ref="H69">VALUE(INDEX(_xlfn.TEXTSPLIT(Table1[[#This Row],[Item]], "-"), 7))</f>
        <v>0</v>
      </c>
      <c r="I6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9" s="1" t="str">
        <f>LEFT(RIGHT(Table1[[#This Row],[Item]],6),1)</f>
        <v>N</v>
      </c>
      <c r="K69" s="1" t="str">
        <f t="shared" si="1"/>
        <v>N</v>
      </c>
      <c r="L69" s="1" t="str">
        <f>RIGHT(Table1[[#This Row],[Item]],2)</f>
        <v>CA</v>
      </c>
      <c r="M69" s="1" t="s">
        <v>19</v>
      </c>
      <c r="N69" s="3" t="s">
        <v>84</v>
      </c>
      <c r="O69" s="1"/>
    </row>
    <row r="70" spans="1:15">
      <c r="A70" t="s">
        <v>87</v>
      </c>
      <c r="B70" s="1" t="str">
        <f>LEFT(Table1[[#This Row],[Item]], FIND("-", Table1[[#This Row],[Item]]) - 1)</f>
        <v>GX09</v>
      </c>
      <c r="C70" s="1" t="str">
        <f>MID(LEFT(Table1[[#This Row],[Item]], FIND("{token}", SUBSTITUTE(Table1[[#This Row],[Item]], "-", "{token}", 2)) - 1), FIND("-", Table1[[#This Row],[Item]]) + 1, LEN(Table1[[#This Row],[Item]]))</f>
        <v>D</v>
      </c>
      <c r="D7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70" s="1" cm="1">
        <f t="array" ref="F70">VALUE(INDEX(_xlfn.TEXTSPLIT(Table1[[#This Row],[Item]], "-"), 5))</f>
        <v>0</v>
      </c>
      <c r="G70" s="1" cm="1">
        <f t="array" ref="G70">VALUE(INDEX(_xlfn.TEXTSPLIT(Table1[[#This Row],[Item]], "-"), 6))</f>
        <v>0</v>
      </c>
      <c r="H70" s="1" cm="1">
        <f t="array" ref="H70">VALUE(INDEX(_xlfn.TEXTSPLIT(Table1[[#This Row],[Item]], "-"), 7))</f>
        <v>2</v>
      </c>
      <c r="I7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0" s="1" t="str">
        <f>LEFT(RIGHT(Table1[[#This Row],[Item]],6),1)</f>
        <v>N</v>
      </c>
      <c r="K70" s="1" t="str">
        <f t="shared" si="1"/>
        <v>N</v>
      </c>
      <c r="L70" s="1" t="str">
        <f>RIGHT(Table1[[#This Row],[Item]],2)</f>
        <v>CA</v>
      </c>
      <c r="M70" s="1" t="s">
        <v>33</v>
      </c>
      <c r="N70" s="3" t="s">
        <v>87</v>
      </c>
      <c r="O70" s="1"/>
    </row>
    <row r="71" spans="1:15">
      <c r="A71" t="s">
        <v>84</v>
      </c>
      <c r="B71" s="1" t="str">
        <f>LEFT(Table1[[#This Row],[Item]], FIND("-", Table1[[#This Row],[Item]]) - 1)</f>
        <v>GX09</v>
      </c>
      <c r="C71" s="1" t="str">
        <f>MID(LEFT(Table1[[#This Row],[Item]], FIND("{token}", SUBSTITUTE(Table1[[#This Row],[Item]], "-", "{token}", 2)) - 1), FIND("-", Table1[[#This Row],[Item]]) + 1, LEN(Table1[[#This Row],[Item]]))</f>
        <v>D</v>
      </c>
      <c r="D7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1" s="1" cm="1">
        <f t="array" ref="F71">VALUE(INDEX(_xlfn.TEXTSPLIT(Table1[[#This Row],[Item]], "-"), 5))</f>
        <v>0</v>
      </c>
      <c r="G71" s="1" cm="1">
        <f t="array" ref="G71">VALUE(INDEX(_xlfn.TEXTSPLIT(Table1[[#This Row],[Item]], "-"), 6))</f>
        <v>0</v>
      </c>
      <c r="H71" s="1" cm="1">
        <f t="array" ref="H71">VALUE(INDEX(_xlfn.TEXTSPLIT(Table1[[#This Row],[Item]], "-"), 7))</f>
        <v>0</v>
      </c>
      <c r="I7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1" s="1" t="str">
        <f>LEFT(RIGHT(Table1[[#This Row],[Item]],6),1)</f>
        <v>N</v>
      </c>
      <c r="K71" s="1" t="str">
        <f t="shared" si="1"/>
        <v>N</v>
      </c>
      <c r="L71" s="1" t="str">
        <f>RIGHT(Table1[[#This Row],[Item]],2)</f>
        <v>CA</v>
      </c>
      <c r="M71" s="1" t="s">
        <v>16</v>
      </c>
      <c r="N71" s="3" t="s">
        <v>84</v>
      </c>
      <c r="O71" s="1">
        <v>15</v>
      </c>
    </row>
    <row r="72" spans="1:15">
      <c r="A72" t="s">
        <v>88</v>
      </c>
      <c r="B72" s="1" t="str">
        <f>LEFT(Table1[[#This Row],[Item]], FIND("-", Table1[[#This Row],[Item]]) - 1)</f>
        <v>GX09</v>
      </c>
      <c r="C72" s="1" t="str">
        <f>MID(LEFT(Table1[[#This Row],[Item]], FIND("{token}", SUBSTITUTE(Table1[[#This Row],[Item]], "-", "{token}", 2)) - 1), FIND("-", Table1[[#This Row],[Item]]) + 1, LEN(Table1[[#This Row],[Item]]))</f>
        <v>D</v>
      </c>
      <c r="D7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2" s="1" cm="1">
        <f t="array" ref="F72">VALUE(INDEX(_xlfn.TEXTSPLIT(Table1[[#This Row],[Item]], "-"), 5))</f>
        <v>0</v>
      </c>
      <c r="G72" s="1" cm="1">
        <f t="array" ref="G72">VALUE(INDEX(_xlfn.TEXTSPLIT(Table1[[#This Row],[Item]], "-"), 6))</f>
        <v>1</v>
      </c>
      <c r="H72" s="1" cm="1">
        <f t="array" ref="H72">VALUE(INDEX(_xlfn.TEXTSPLIT(Table1[[#This Row],[Item]], "-"), 7))</f>
        <v>0</v>
      </c>
      <c r="I7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2" s="1" t="str">
        <f>LEFT(RIGHT(Table1[[#This Row],[Item]],6),1)</f>
        <v>N</v>
      </c>
      <c r="K72" s="1" t="str">
        <f t="shared" si="1"/>
        <v>N</v>
      </c>
      <c r="L72" s="1" t="str">
        <f>RIGHT(Table1[[#This Row],[Item]],2)</f>
        <v>CA</v>
      </c>
      <c r="M72" s="1" t="s">
        <v>19</v>
      </c>
      <c r="N72" s="3" t="s">
        <v>84</v>
      </c>
      <c r="O72" s="1"/>
    </row>
    <row r="73" spans="1:15">
      <c r="A73" t="s">
        <v>89</v>
      </c>
      <c r="B73" s="1" t="str">
        <f>LEFT(Table1[[#This Row],[Item]], FIND("-", Table1[[#This Row],[Item]]) - 1)</f>
        <v>GX09</v>
      </c>
      <c r="C73" s="1" t="str">
        <f>MID(LEFT(Table1[[#This Row],[Item]], FIND("{token}", SUBSTITUTE(Table1[[#This Row],[Item]], "-", "{token}", 2)) - 1), FIND("-", Table1[[#This Row],[Item]]) + 1, LEN(Table1[[#This Row],[Item]]))</f>
        <v>D</v>
      </c>
      <c r="D7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3" s="1" cm="1">
        <f t="array" ref="F73">VALUE(INDEX(_xlfn.TEXTSPLIT(Table1[[#This Row],[Item]], "-"), 5))</f>
        <v>0</v>
      </c>
      <c r="G73" s="1" cm="1">
        <f t="array" ref="G73">VALUE(INDEX(_xlfn.TEXTSPLIT(Table1[[#This Row],[Item]], "-"), 6))</f>
        <v>2</v>
      </c>
      <c r="H73" s="1" cm="1">
        <f t="array" ref="H73">VALUE(INDEX(_xlfn.TEXTSPLIT(Table1[[#This Row],[Item]], "-"), 7))</f>
        <v>0</v>
      </c>
      <c r="I7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3" s="1" t="str">
        <f>LEFT(RIGHT(Table1[[#This Row],[Item]],6),1)</f>
        <v>N</v>
      </c>
      <c r="K73" s="1" t="str">
        <f t="shared" si="1"/>
        <v>N</v>
      </c>
      <c r="L73" s="1" t="str">
        <f>RIGHT(Table1[[#This Row],[Item]],2)</f>
        <v>CA</v>
      </c>
      <c r="M73" s="1" t="s">
        <v>19</v>
      </c>
      <c r="N73" s="3" t="s">
        <v>84</v>
      </c>
      <c r="O73" s="1"/>
    </row>
    <row r="74" spans="1:15">
      <c r="A74" s="4" t="s">
        <v>90</v>
      </c>
      <c r="B74" s="1" t="str">
        <f>LEFT(Table1[[#This Row],[Item]], FIND("-", Table1[[#This Row],[Item]]) - 1)</f>
        <v>GX09</v>
      </c>
      <c r="C74" s="1" t="str">
        <f>MID(LEFT(Table1[[#This Row],[Item]], FIND("{token}", SUBSTITUTE(Table1[[#This Row],[Item]], "-", "{token}", 2)) - 1), FIND("-", Table1[[#This Row],[Item]]) + 1, LEN(Table1[[#This Row],[Item]]))</f>
        <v>DXL</v>
      </c>
      <c r="D7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4" s="1" cm="1">
        <f t="array" ref="F74">VALUE(INDEX(_xlfn.TEXTSPLIT(Table1[[#This Row],[Item]], "-"), 5))</f>
        <v>0</v>
      </c>
      <c r="G74" s="1" cm="1">
        <f t="array" ref="G74">VALUE(INDEX(_xlfn.TEXTSPLIT(Table1[[#This Row],[Item]], "-"), 6))</f>
        <v>2</v>
      </c>
      <c r="H74" s="1" cm="1">
        <f t="array" ref="H74">VALUE(INDEX(_xlfn.TEXTSPLIT(Table1[[#This Row],[Item]], "-"), 7))</f>
        <v>0</v>
      </c>
      <c r="I7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4" s="1" t="str">
        <f>LEFT(RIGHT(Table1[[#This Row],[Item]],6),1)</f>
        <v>N</v>
      </c>
      <c r="K74" s="1" t="str">
        <f t="shared" si="1"/>
        <v>N</v>
      </c>
      <c r="L74" s="1" t="str">
        <f>RIGHT(Table1[[#This Row],[Item]],2)</f>
        <v>CA</v>
      </c>
      <c r="M74" s="1" t="s">
        <v>33</v>
      </c>
      <c r="N74" s="3" t="s">
        <v>90</v>
      </c>
      <c r="O74" s="1"/>
    </row>
    <row r="75" spans="1:15">
      <c r="A75" t="s">
        <v>91</v>
      </c>
      <c r="B75" s="1" t="str">
        <f>LEFT(Table1[[#This Row],[Item]], FIND("-", Table1[[#This Row],[Item]]) - 1)</f>
        <v>GX09</v>
      </c>
      <c r="C75" s="1" t="str">
        <f>MID(LEFT(Table1[[#This Row],[Item]], FIND("{token}", SUBSTITUTE(Table1[[#This Row],[Item]], "-", "{token}", 2)) - 1), FIND("-", Table1[[#This Row],[Item]]) + 1, LEN(Table1[[#This Row],[Item]]))</f>
        <v>R</v>
      </c>
      <c r="D75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5" s="1" cm="1">
        <f t="array" ref="F75">VALUE(INDEX(_xlfn.TEXTSPLIT(Table1[[#This Row],[Item]], "-"), 5))</f>
        <v>0</v>
      </c>
      <c r="G75" s="1" cm="1">
        <f t="array" ref="G75">VALUE(INDEX(_xlfn.TEXTSPLIT(Table1[[#This Row],[Item]], "-"), 6))</f>
        <v>0</v>
      </c>
      <c r="H75" s="1" cm="1">
        <f t="array" ref="H75">VALUE(INDEX(_xlfn.TEXTSPLIT(Table1[[#This Row],[Item]], "-"), 7))</f>
        <v>0</v>
      </c>
      <c r="I7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5" s="1" t="str">
        <f>LEFT(RIGHT(Table1[[#This Row],[Item]],6),1)</f>
        <v>N</v>
      </c>
      <c r="K75" s="1" t="str">
        <f t="shared" si="1"/>
        <v>N</v>
      </c>
      <c r="L75" s="1" t="str">
        <f>RIGHT(Table1[[#This Row],[Item]],2)</f>
        <v>CA</v>
      </c>
      <c r="M75" s="1" t="s">
        <v>19</v>
      </c>
      <c r="N75" s="3" t="s">
        <v>92</v>
      </c>
      <c r="O75" s="1"/>
    </row>
    <row r="76" spans="1:15">
      <c r="A76" t="s">
        <v>93</v>
      </c>
      <c r="B76" s="1" t="str">
        <f>LEFT(Table1[[#This Row],[Item]], FIND("-", Table1[[#This Row],[Item]]) - 1)</f>
        <v>GX09</v>
      </c>
      <c r="C76" s="1" t="str">
        <f>MID(LEFT(Table1[[#This Row],[Item]], FIND("{token}", SUBSTITUTE(Table1[[#This Row],[Item]], "-", "{token}", 2)) - 1), FIND("-", Table1[[#This Row],[Item]]) + 1, LEN(Table1[[#This Row],[Item]]))</f>
        <v>R</v>
      </c>
      <c r="D76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6" s="1" cm="1">
        <f t="array" ref="F76">VALUE(INDEX(_xlfn.TEXTSPLIT(Table1[[#This Row],[Item]], "-"), 5))</f>
        <v>0</v>
      </c>
      <c r="G76" s="1" cm="1">
        <f t="array" ref="G76">VALUE(INDEX(_xlfn.TEXTSPLIT(Table1[[#This Row],[Item]], "-"), 6))</f>
        <v>1</v>
      </c>
      <c r="H76" s="1" cm="1">
        <f t="array" ref="H76">VALUE(INDEX(_xlfn.TEXTSPLIT(Table1[[#This Row],[Item]], "-"), 7))</f>
        <v>0</v>
      </c>
      <c r="I7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6" s="1" t="str">
        <f>LEFT(RIGHT(Table1[[#This Row],[Item]],6),1)</f>
        <v>N</v>
      </c>
      <c r="K76" s="1" t="str">
        <f t="shared" si="1"/>
        <v>N</v>
      </c>
      <c r="L76" s="1" t="str">
        <f>RIGHT(Table1[[#This Row],[Item]],2)</f>
        <v>CA</v>
      </c>
      <c r="M76" s="1" t="s">
        <v>19</v>
      </c>
      <c r="N76" s="3" t="s">
        <v>92</v>
      </c>
      <c r="O76" s="1"/>
    </row>
    <row r="77" spans="1:15">
      <c r="A77" t="s">
        <v>94</v>
      </c>
      <c r="B77" s="1" t="str">
        <f>LEFT(Table1[[#This Row],[Item]], FIND("-", Table1[[#This Row],[Item]]) - 1)</f>
        <v>GX09</v>
      </c>
      <c r="C77" s="1" t="str">
        <f>MID(LEFT(Table1[[#This Row],[Item]], FIND("{token}", SUBSTITUTE(Table1[[#This Row],[Item]], "-", "{token}", 2)) - 1), FIND("-", Table1[[#This Row],[Item]]) + 1, LEN(Table1[[#This Row],[Item]]))</f>
        <v>R</v>
      </c>
      <c r="D7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7" s="1" cm="1">
        <f t="array" ref="F77">VALUE(INDEX(_xlfn.TEXTSPLIT(Table1[[#This Row],[Item]], "-"), 5))</f>
        <v>0</v>
      </c>
      <c r="G77" s="1" cm="1">
        <f t="array" ref="G77">VALUE(INDEX(_xlfn.TEXTSPLIT(Table1[[#This Row],[Item]], "-"), 6))</f>
        <v>2</v>
      </c>
      <c r="H77" s="1" cm="1">
        <f t="array" ref="H77">VALUE(INDEX(_xlfn.TEXTSPLIT(Table1[[#This Row],[Item]], "-"), 7))</f>
        <v>0</v>
      </c>
      <c r="I7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7" s="1" t="str">
        <f>LEFT(RIGHT(Table1[[#This Row],[Item]],6),1)</f>
        <v>N</v>
      </c>
      <c r="K77" s="1" t="str">
        <f t="shared" si="1"/>
        <v>N</v>
      </c>
      <c r="L77" s="1" t="str">
        <f>RIGHT(Table1[[#This Row],[Item]],2)</f>
        <v>CA</v>
      </c>
      <c r="M77" s="1" t="s">
        <v>19</v>
      </c>
      <c r="N77" s="3" t="s">
        <v>92</v>
      </c>
      <c r="O77" s="1"/>
    </row>
    <row r="78" spans="1:15">
      <c r="A78" t="s">
        <v>95</v>
      </c>
      <c r="B78" s="1" t="str">
        <f>LEFT(Table1[[#This Row],[Item]], FIND("-", Table1[[#This Row],[Item]]) - 1)</f>
        <v>GX09</v>
      </c>
      <c r="C78" s="1" t="str">
        <f>MID(LEFT(Table1[[#This Row],[Item]], FIND("{token}", SUBSTITUTE(Table1[[#This Row],[Item]], "-", "{token}", 2)) - 1), FIND("-", Table1[[#This Row],[Item]]) + 1, LEN(Table1[[#This Row],[Item]]))</f>
        <v>R</v>
      </c>
      <c r="D7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8" s="1" cm="1">
        <f t="array" ref="F78">VALUE(INDEX(_xlfn.TEXTSPLIT(Table1[[#This Row],[Item]], "-"), 5))</f>
        <v>1</v>
      </c>
      <c r="G78" s="1" cm="1">
        <f t="array" ref="G78">VALUE(INDEX(_xlfn.TEXTSPLIT(Table1[[#This Row],[Item]], "-"), 6))</f>
        <v>0</v>
      </c>
      <c r="H78" s="1" cm="1">
        <f t="array" ref="H78">VALUE(INDEX(_xlfn.TEXTSPLIT(Table1[[#This Row],[Item]], "-"), 7))</f>
        <v>0</v>
      </c>
      <c r="I7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8" s="1" t="str">
        <f>LEFT(RIGHT(Table1[[#This Row],[Item]],6),1)</f>
        <v>N</v>
      </c>
      <c r="K78" s="1" t="str">
        <f t="shared" si="1"/>
        <v>N</v>
      </c>
      <c r="L78" s="1" t="str">
        <f>RIGHT(Table1[[#This Row],[Item]],2)</f>
        <v>CA</v>
      </c>
      <c r="M78" s="1" t="s">
        <v>33</v>
      </c>
      <c r="N78" t="s">
        <v>95</v>
      </c>
      <c r="O78" s="1"/>
    </row>
    <row r="79" spans="1:15">
      <c r="A79" t="s">
        <v>96</v>
      </c>
      <c r="B79" s="1" t="str">
        <f>LEFT(Table1[[#This Row],[Item]], FIND("-", Table1[[#This Row],[Item]]) - 1)</f>
        <v>GX09</v>
      </c>
      <c r="C79" s="1" t="str">
        <f>MID(LEFT(Table1[[#This Row],[Item]], FIND("{token}", SUBSTITUTE(Table1[[#This Row],[Item]], "-", "{token}", 2)) - 1), FIND("-", Table1[[#This Row],[Item]]) + 1, LEN(Table1[[#This Row],[Item]]))</f>
        <v>R</v>
      </c>
      <c r="D7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9" s="1" cm="1">
        <f t="array" ref="F79">VALUE(INDEX(_xlfn.TEXTSPLIT(Table1[[#This Row],[Item]], "-"), 5))</f>
        <v>1</v>
      </c>
      <c r="G79" s="1" cm="1">
        <f t="array" ref="G79">VALUE(INDEX(_xlfn.TEXTSPLIT(Table1[[#This Row],[Item]], "-"), 6))</f>
        <v>1</v>
      </c>
      <c r="H79" s="1" cm="1">
        <f t="array" ref="H79">VALUE(INDEX(_xlfn.TEXTSPLIT(Table1[[#This Row],[Item]], "-"), 7))</f>
        <v>0</v>
      </c>
      <c r="I7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9" s="1" t="str">
        <f>LEFT(RIGHT(Table1[[#This Row],[Item]],6),1)</f>
        <v>N</v>
      </c>
      <c r="K79" s="1" t="str">
        <f t="shared" si="1"/>
        <v>N</v>
      </c>
      <c r="L79" s="1" t="str">
        <f>RIGHT(Table1[[#This Row],[Item]],2)</f>
        <v>CA</v>
      </c>
      <c r="M79" s="1" t="s">
        <v>33</v>
      </c>
      <c r="N79" t="s">
        <v>96</v>
      </c>
      <c r="O79" s="1"/>
    </row>
    <row r="80" spans="1:15">
      <c r="A80" t="s">
        <v>97</v>
      </c>
      <c r="B80" s="1" t="str">
        <f>LEFT(Table1[[#This Row],[Item]], FIND("-", Table1[[#This Row],[Item]]) - 1)</f>
        <v>GX09</v>
      </c>
      <c r="C80" s="1" t="str">
        <f>MID(LEFT(Table1[[#This Row],[Item]], FIND("{token}", SUBSTITUTE(Table1[[#This Row],[Item]], "-", "{token}", 2)) - 1), FIND("-", Table1[[#This Row],[Item]]) + 1, LEN(Table1[[#This Row],[Item]]))</f>
        <v>R</v>
      </c>
      <c r="D8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8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0" s="1" cm="1">
        <f t="array" ref="F80">VALUE(INDEX(_xlfn.TEXTSPLIT(Table1[[#This Row],[Item]], "-"), 5))</f>
        <v>1</v>
      </c>
      <c r="G80" s="1" cm="1">
        <f t="array" ref="G80">VALUE(INDEX(_xlfn.TEXTSPLIT(Table1[[#This Row],[Item]], "-"), 6))</f>
        <v>2</v>
      </c>
      <c r="H80" s="1" cm="1">
        <f t="array" ref="H80">VALUE(INDEX(_xlfn.TEXTSPLIT(Table1[[#This Row],[Item]], "-"), 7))</f>
        <v>0</v>
      </c>
      <c r="I8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0" s="1" t="str">
        <f>LEFT(RIGHT(Table1[[#This Row],[Item]],6),1)</f>
        <v>N</v>
      </c>
      <c r="K80" s="1" t="str">
        <f t="shared" si="1"/>
        <v>N</v>
      </c>
      <c r="L80" s="1" t="str">
        <f>RIGHT(Table1[[#This Row],[Item]],2)</f>
        <v>CA</v>
      </c>
      <c r="M80" s="1" t="s">
        <v>33</v>
      </c>
      <c r="N80" t="s">
        <v>97</v>
      </c>
      <c r="O80" s="1"/>
    </row>
    <row r="81" spans="1:15">
      <c r="A81" t="s">
        <v>98</v>
      </c>
      <c r="B81" s="1" t="str">
        <f>LEFT(Table1[[#This Row],[Item]], FIND("-", Table1[[#This Row],[Item]]) - 1)</f>
        <v>GX09</v>
      </c>
      <c r="C81" s="1" t="str">
        <f>MID(LEFT(Table1[[#This Row],[Item]], FIND("{token}", SUBSTITUTE(Table1[[#This Row],[Item]], "-", "{token}", 2)) - 1), FIND("-", Table1[[#This Row],[Item]]) + 1, LEN(Table1[[#This Row],[Item]]))</f>
        <v>R</v>
      </c>
      <c r="D8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1" s="1" cm="1">
        <f t="array" ref="F81">VALUE(INDEX(_xlfn.TEXTSPLIT(Table1[[#This Row],[Item]], "-"), 5))</f>
        <v>0</v>
      </c>
      <c r="G81" s="1" cm="1">
        <f t="array" ref="G81">VALUE(INDEX(_xlfn.TEXTSPLIT(Table1[[#This Row],[Item]], "-"), 6))</f>
        <v>1</v>
      </c>
      <c r="H81" s="1" cm="1">
        <f t="array" ref="H81">VALUE(INDEX(_xlfn.TEXTSPLIT(Table1[[#This Row],[Item]], "-"), 7))</f>
        <v>1</v>
      </c>
      <c r="I8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1" s="1" t="str">
        <f>LEFT(RIGHT(Table1[[#This Row],[Item]],6),1)</f>
        <v>N</v>
      </c>
      <c r="K81" s="1" t="str">
        <f t="shared" si="1"/>
        <v>N</v>
      </c>
      <c r="L81" s="1" t="str">
        <f>RIGHT(Table1[[#This Row],[Item]],2)</f>
        <v>CA</v>
      </c>
      <c r="M81" s="1" t="s">
        <v>33</v>
      </c>
      <c r="N81" s="3" t="s">
        <v>98</v>
      </c>
      <c r="O81" s="1"/>
    </row>
    <row r="82" spans="1:15">
      <c r="A82" t="s">
        <v>92</v>
      </c>
      <c r="B82" s="1" t="str">
        <f>LEFT(Table1[[#This Row],[Item]], FIND("-", Table1[[#This Row],[Item]]) - 1)</f>
        <v>GX09</v>
      </c>
      <c r="C82" s="1" t="str">
        <f>MID(LEFT(Table1[[#This Row],[Item]], FIND("{token}", SUBSTITUTE(Table1[[#This Row],[Item]], "-", "{token}", 2)) - 1), FIND("-", Table1[[#This Row],[Item]]) + 1, LEN(Table1[[#This Row],[Item]]))</f>
        <v>R</v>
      </c>
      <c r="D8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2" s="1" cm="1">
        <f t="array" ref="F82">VALUE(INDEX(_xlfn.TEXTSPLIT(Table1[[#This Row],[Item]], "-"), 5))</f>
        <v>0</v>
      </c>
      <c r="G82" s="1" cm="1">
        <f t="array" ref="G82">VALUE(INDEX(_xlfn.TEXTSPLIT(Table1[[#This Row],[Item]], "-"), 6))</f>
        <v>0</v>
      </c>
      <c r="H82" s="1" cm="1">
        <f t="array" ref="H82">VALUE(INDEX(_xlfn.TEXTSPLIT(Table1[[#This Row],[Item]], "-"), 7))</f>
        <v>0</v>
      </c>
      <c r="I8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2" s="1" t="str">
        <f>LEFT(RIGHT(Table1[[#This Row],[Item]],6),1)</f>
        <v>N</v>
      </c>
      <c r="K82" s="1" t="str">
        <f t="shared" si="1"/>
        <v>N</v>
      </c>
      <c r="L82" s="1" t="str">
        <f>RIGHT(Table1[[#This Row],[Item]],2)</f>
        <v>CA</v>
      </c>
      <c r="M82" s="1" t="s">
        <v>16</v>
      </c>
      <c r="N82" s="3" t="s">
        <v>92</v>
      </c>
      <c r="O82" s="1">
        <v>15</v>
      </c>
    </row>
    <row r="83" spans="1:15">
      <c r="A83" t="s">
        <v>99</v>
      </c>
      <c r="B83" s="1" t="str">
        <f>LEFT(Table1[[#This Row],[Item]], FIND("-", Table1[[#This Row],[Item]]) - 1)</f>
        <v>GX09</v>
      </c>
      <c r="C83" s="1" t="str">
        <f>MID(LEFT(Table1[[#This Row],[Item]], FIND("{token}", SUBSTITUTE(Table1[[#This Row],[Item]], "-", "{token}", 2)) - 1), FIND("-", Table1[[#This Row],[Item]]) + 1, LEN(Table1[[#This Row],[Item]]))</f>
        <v>R</v>
      </c>
      <c r="D8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3" s="1" cm="1">
        <f t="array" ref="F83">VALUE(INDEX(_xlfn.TEXTSPLIT(Table1[[#This Row],[Item]], "-"), 5))</f>
        <v>0</v>
      </c>
      <c r="G83" s="1" cm="1">
        <f t="array" ref="G83">VALUE(INDEX(_xlfn.TEXTSPLIT(Table1[[#This Row],[Item]], "-"), 6))</f>
        <v>1</v>
      </c>
      <c r="H83" s="1" cm="1">
        <f t="array" ref="H83">VALUE(INDEX(_xlfn.TEXTSPLIT(Table1[[#This Row],[Item]], "-"), 7))</f>
        <v>0</v>
      </c>
      <c r="I8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3" s="1" t="str">
        <f>LEFT(RIGHT(Table1[[#This Row],[Item]],6),1)</f>
        <v>N</v>
      </c>
      <c r="K83" s="1" t="str">
        <f t="shared" si="1"/>
        <v>N</v>
      </c>
      <c r="L83" s="1" t="str">
        <f>RIGHT(Table1[[#This Row],[Item]],2)</f>
        <v>CA</v>
      </c>
      <c r="M83" s="1" t="s">
        <v>19</v>
      </c>
      <c r="N83" s="3" t="s">
        <v>92</v>
      </c>
      <c r="O83" s="1"/>
    </row>
    <row r="84" spans="1:15">
      <c r="A84" t="s">
        <v>100</v>
      </c>
      <c r="B84" s="1" t="str">
        <f>LEFT(Table1[[#This Row],[Item]], FIND("-", Table1[[#This Row],[Item]]) - 1)</f>
        <v>GX09</v>
      </c>
      <c r="C84" s="1" t="str">
        <f>MID(LEFT(Table1[[#This Row],[Item]], FIND("{token}", SUBSTITUTE(Table1[[#This Row],[Item]], "-", "{token}", 2)) - 1), FIND("-", Table1[[#This Row],[Item]]) + 1, LEN(Table1[[#This Row],[Item]]))</f>
        <v>R</v>
      </c>
      <c r="D8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4" s="1" cm="1">
        <f t="array" ref="F84">VALUE(INDEX(_xlfn.TEXTSPLIT(Table1[[#This Row],[Item]], "-"), 5))</f>
        <v>0</v>
      </c>
      <c r="G84" s="1" cm="1">
        <f t="array" ref="G84">VALUE(INDEX(_xlfn.TEXTSPLIT(Table1[[#This Row],[Item]], "-"), 6))</f>
        <v>2</v>
      </c>
      <c r="H84" s="1" cm="1">
        <f t="array" ref="H84">VALUE(INDEX(_xlfn.TEXTSPLIT(Table1[[#This Row],[Item]], "-"), 7))</f>
        <v>0</v>
      </c>
      <c r="I8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4" s="1" t="str">
        <f>LEFT(RIGHT(Table1[[#This Row],[Item]],6),1)</f>
        <v>N</v>
      </c>
      <c r="K84" s="1" t="str">
        <f t="shared" si="1"/>
        <v>N</v>
      </c>
      <c r="L84" s="1" t="str">
        <f>RIGHT(Table1[[#This Row],[Item]],2)</f>
        <v>CA</v>
      </c>
      <c r="M84" s="1" t="s">
        <v>19</v>
      </c>
      <c r="N84" s="3" t="s">
        <v>92</v>
      </c>
      <c r="O84" s="1"/>
    </row>
    <row r="85" spans="1:15">
      <c r="A85" t="s">
        <v>101</v>
      </c>
      <c r="B85" s="1" t="str">
        <f>LEFT(Table1[[#This Row],[Item]], FIND("-", Table1[[#This Row],[Item]]) - 1)</f>
        <v>GX09</v>
      </c>
      <c r="C85" s="1" t="str">
        <f>MID(LEFT(Table1[[#This Row],[Item]], FIND("{token}", SUBSTITUTE(Table1[[#This Row],[Item]], "-", "{token}", 2)) - 1), FIND("-", Table1[[#This Row],[Item]]) + 1, LEN(Table1[[#This Row],[Item]]))</f>
        <v>R</v>
      </c>
      <c r="D8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5" s="1" cm="1">
        <f t="array" ref="F85">VALUE(INDEX(_xlfn.TEXTSPLIT(Table1[[#This Row],[Item]], "-"), 5))</f>
        <v>1</v>
      </c>
      <c r="G85" s="1" cm="1">
        <f t="array" ref="G85">VALUE(INDEX(_xlfn.TEXTSPLIT(Table1[[#This Row],[Item]], "-"), 6))</f>
        <v>0</v>
      </c>
      <c r="H85" s="1" cm="1">
        <f t="array" ref="H85">VALUE(INDEX(_xlfn.TEXTSPLIT(Table1[[#This Row],[Item]], "-"), 7))</f>
        <v>0</v>
      </c>
      <c r="I8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5" s="1" t="str">
        <f>LEFT(RIGHT(Table1[[#This Row],[Item]],6),1)</f>
        <v>N</v>
      </c>
      <c r="K85" s="1" t="str">
        <f t="shared" si="1"/>
        <v>N</v>
      </c>
      <c r="L85" s="1" t="str">
        <f>RIGHT(Table1[[#This Row],[Item]],2)</f>
        <v>CA</v>
      </c>
      <c r="M85" s="1" t="s">
        <v>33</v>
      </c>
      <c r="N85" t="s">
        <v>101</v>
      </c>
      <c r="O85" s="1"/>
    </row>
    <row r="86" spans="1:15">
      <c r="A86" t="s">
        <v>102</v>
      </c>
      <c r="B86" s="1" t="str">
        <f>LEFT(Table1[[#This Row],[Item]], FIND("-", Table1[[#This Row],[Item]]) - 1)</f>
        <v>GX09</v>
      </c>
      <c r="C86" s="1" t="str">
        <f>MID(LEFT(Table1[[#This Row],[Item]], FIND("{token}", SUBSTITUTE(Table1[[#This Row],[Item]], "-", "{token}", 2)) - 1), FIND("-", Table1[[#This Row],[Item]]) + 1, LEN(Table1[[#This Row],[Item]]))</f>
        <v>R</v>
      </c>
      <c r="D8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6" s="1" cm="1">
        <f t="array" ref="F86">VALUE(INDEX(_xlfn.TEXTSPLIT(Table1[[#This Row],[Item]], "-"), 5))</f>
        <v>1</v>
      </c>
      <c r="G86" s="1" cm="1">
        <f t="array" ref="G86">VALUE(INDEX(_xlfn.TEXTSPLIT(Table1[[#This Row],[Item]], "-"), 6))</f>
        <v>1</v>
      </c>
      <c r="H86" s="1" cm="1">
        <f t="array" ref="H86">VALUE(INDEX(_xlfn.TEXTSPLIT(Table1[[#This Row],[Item]], "-"), 7))</f>
        <v>0</v>
      </c>
      <c r="I8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6" s="1" t="str">
        <f>LEFT(RIGHT(Table1[[#This Row],[Item]],6),1)</f>
        <v>N</v>
      </c>
      <c r="K86" s="1" t="str">
        <f t="shared" si="1"/>
        <v>N</v>
      </c>
      <c r="L86" s="1" t="str">
        <f>RIGHT(Table1[[#This Row],[Item]],2)</f>
        <v>CA</v>
      </c>
      <c r="M86" s="1" t="s">
        <v>33</v>
      </c>
      <c r="N86" t="s">
        <v>102</v>
      </c>
      <c r="O86" s="1"/>
    </row>
    <row r="87" spans="1:15">
      <c r="A87" t="s">
        <v>103</v>
      </c>
      <c r="B87" s="1" t="str">
        <f>LEFT(Table1[[#This Row],[Item]], FIND("-", Table1[[#This Row],[Item]]) - 1)</f>
        <v>GX09</v>
      </c>
      <c r="C87" s="1" t="str">
        <f>MID(LEFT(Table1[[#This Row],[Item]], FIND("{token}", SUBSTITUTE(Table1[[#This Row],[Item]], "-", "{token}", 2)) - 1), FIND("-", Table1[[#This Row],[Item]]) + 1, LEN(Table1[[#This Row],[Item]]))</f>
        <v>R</v>
      </c>
      <c r="D8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7" s="1" cm="1">
        <f t="array" ref="F87">VALUE(INDEX(_xlfn.TEXTSPLIT(Table1[[#This Row],[Item]], "-"), 5))</f>
        <v>1</v>
      </c>
      <c r="G87" s="1" cm="1">
        <f t="array" ref="G87">VALUE(INDEX(_xlfn.TEXTSPLIT(Table1[[#This Row],[Item]], "-"), 6))</f>
        <v>2</v>
      </c>
      <c r="H87" s="1" cm="1">
        <f t="array" ref="H87">VALUE(INDEX(_xlfn.TEXTSPLIT(Table1[[#This Row],[Item]], "-"), 7))</f>
        <v>0</v>
      </c>
      <c r="I8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7" s="1" t="str">
        <f>LEFT(RIGHT(Table1[[#This Row],[Item]],6),1)</f>
        <v>N</v>
      </c>
      <c r="K87" s="1" t="str">
        <f t="shared" si="1"/>
        <v>N</v>
      </c>
      <c r="L87" s="1" t="str">
        <f>RIGHT(Table1[[#This Row],[Item]],2)</f>
        <v>CA</v>
      </c>
      <c r="M87" s="1" t="s">
        <v>33</v>
      </c>
      <c r="N87" t="s">
        <v>103</v>
      </c>
      <c r="O87" s="1"/>
    </row>
    <row r="88" spans="1:15">
      <c r="A88" t="s">
        <v>104</v>
      </c>
      <c r="B88" s="1" t="str">
        <f>LEFT(Table1[[#This Row],[Item]], FIND("-", Table1[[#This Row],[Item]]) - 1)</f>
        <v>GX09</v>
      </c>
      <c r="C88" s="1" t="str">
        <f>MID(LEFT(Table1[[#This Row],[Item]], FIND("{token}", SUBSTITUTE(Table1[[#This Row],[Item]], "-", "{token}", 2)) - 1), FIND("-", Table1[[#This Row],[Item]]) + 1, LEN(Table1[[#This Row],[Item]]))</f>
        <v>RXL</v>
      </c>
      <c r="D8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8" s="1" cm="1">
        <f t="array" ref="F88">VALUE(INDEX(_xlfn.TEXTSPLIT(Table1[[#This Row],[Item]], "-"), 5))</f>
        <v>0</v>
      </c>
      <c r="G88" s="1" cm="1">
        <f t="array" ref="G88">VALUE(INDEX(_xlfn.TEXTSPLIT(Table1[[#This Row],[Item]], "-"), 6))</f>
        <v>0</v>
      </c>
      <c r="H88" s="1" cm="1">
        <f t="array" ref="H88">VALUE(INDEX(_xlfn.TEXTSPLIT(Table1[[#This Row],[Item]], "-"), 7))</f>
        <v>1</v>
      </c>
      <c r="I8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8" s="1" t="str">
        <f>LEFT(RIGHT(Table1[[#This Row],[Item]],6),1)</f>
        <v>N</v>
      </c>
      <c r="K88" s="1" t="str">
        <f t="shared" si="1"/>
        <v>N</v>
      </c>
      <c r="L88" s="1" t="str">
        <f>RIGHT(Table1[[#This Row],[Item]],2)</f>
        <v>CA</v>
      </c>
      <c r="M88" s="1" t="s">
        <v>33</v>
      </c>
      <c r="N88" s="3" t="s">
        <v>104</v>
      </c>
      <c r="O88" s="1"/>
    </row>
    <row r="89" spans="1:15">
      <c r="A89" t="s">
        <v>105</v>
      </c>
      <c r="B89" s="1" t="str">
        <f>LEFT(Table1[[#This Row],[Item]], FIND("-", Table1[[#This Row],[Item]]) - 1)</f>
        <v>GX09</v>
      </c>
      <c r="C89" s="1" t="str">
        <f>MID(LEFT(Table1[[#This Row],[Item]], FIND("{token}", SUBSTITUTE(Table1[[#This Row],[Item]], "-", "{token}", 2)) - 1), FIND("-", Table1[[#This Row],[Item]]) + 1, LEN(Table1[[#This Row],[Item]]))</f>
        <v>RXL</v>
      </c>
      <c r="D8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9" s="1" cm="1">
        <f t="array" ref="F89">VALUE(INDEX(_xlfn.TEXTSPLIT(Table1[[#This Row],[Item]], "-"), 5))</f>
        <v>0</v>
      </c>
      <c r="G89" s="1" cm="1">
        <f t="array" ref="G89">VALUE(INDEX(_xlfn.TEXTSPLIT(Table1[[#This Row],[Item]], "-"), 6))</f>
        <v>2</v>
      </c>
      <c r="H89" s="1" cm="1">
        <f t="array" ref="H89">VALUE(INDEX(_xlfn.TEXTSPLIT(Table1[[#This Row],[Item]], "-"), 7))</f>
        <v>0</v>
      </c>
      <c r="I8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9" s="1" t="str">
        <f>LEFT(RIGHT(Table1[[#This Row],[Item]],6),1)</f>
        <v>N</v>
      </c>
      <c r="K89" s="1" t="str">
        <f t="shared" si="1"/>
        <v>N</v>
      </c>
      <c r="L89" s="1" t="str">
        <f>RIGHT(Table1[[#This Row],[Item]],2)</f>
        <v>CA</v>
      </c>
      <c r="M89" s="1" t="s">
        <v>33</v>
      </c>
      <c r="N89" s="3" t="s">
        <v>105</v>
      </c>
      <c r="O89" s="1"/>
    </row>
    <row r="90" spans="1:15">
      <c r="A90" t="s">
        <v>106</v>
      </c>
      <c r="B90" s="1" t="str">
        <f>LEFT(Table1[[#This Row],[Item]], FIND("-", Table1[[#This Row],[Item]]) - 1)</f>
        <v>GX09</v>
      </c>
      <c r="C90" s="1" t="str">
        <f>MID(LEFT(Table1[[#This Row],[Item]], FIND("{token}", SUBSTITUTE(Table1[[#This Row],[Item]], "-", "{token}", 2)) - 1), FIND("-", Table1[[#This Row],[Item]]) + 1, LEN(Table1[[#This Row],[Item]]))</f>
        <v>RXL</v>
      </c>
      <c r="D90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9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90" s="1" cm="1">
        <f t="array" ref="F90">VALUE(INDEX(_xlfn.TEXTSPLIT(Table1[[#This Row],[Item]], "-"), 5))</f>
        <v>1</v>
      </c>
      <c r="G90" s="1" cm="1">
        <f t="array" ref="G90">VALUE(INDEX(_xlfn.TEXTSPLIT(Table1[[#This Row],[Item]], "-"), 6))</f>
        <v>1</v>
      </c>
      <c r="H90" s="1" cm="1">
        <f t="array" ref="H90">VALUE(INDEX(_xlfn.TEXTSPLIT(Table1[[#This Row],[Item]], "-"), 7))</f>
        <v>1</v>
      </c>
      <c r="I9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0" s="1" t="str">
        <f>LEFT(RIGHT(Table1[[#This Row],[Item]],6),1)</f>
        <v>N</v>
      </c>
      <c r="K90" s="1" t="str">
        <f t="shared" si="1"/>
        <v>N</v>
      </c>
      <c r="L90" s="1" t="str">
        <f>RIGHT(Table1[[#This Row],[Item]],2)</f>
        <v>CA</v>
      </c>
      <c r="M90" s="1" t="s">
        <v>33</v>
      </c>
      <c r="N90" s="3" t="s">
        <v>106</v>
      </c>
      <c r="O90" s="1"/>
    </row>
    <row r="91" spans="1:15">
      <c r="A91" t="s">
        <v>107</v>
      </c>
      <c r="B91" s="1" t="str">
        <f>LEFT(Table1[[#This Row],[Item]], FIND("-", Table1[[#This Row],[Item]]) - 1)</f>
        <v>GX09</v>
      </c>
      <c r="C91" s="1" t="str">
        <f>MID(LEFT(Table1[[#This Row],[Item]], FIND("{token}", SUBSTITUTE(Table1[[#This Row],[Item]], "-", "{token}", 2)) - 1), FIND("-", Table1[[#This Row],[Item]]) + 1, LEN(Table1[[#This Row],[Item]]))</f>
        <v>RXL</v>
      </c>
      <c r="D91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9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91" s="1" cm="1">
        <f t="array" ref="F91">VALUE(INDEX(_xlfn.TEXTSPLIT(Table1[[#This Row],[Item]], "-"), 5))</f>
        <v>1</v>
      </c>
      <c r="G91" s="1" cm="1">
        <f t="array" ref="G91">VALUE(INDEX(_xlfn.TEXTSPLIT(Table1[[#This Row],[Item]], "-"), 6))</f>
        <v>2</v>
      </c>
      <c r="H91" s="1" cm="1">
        <f t="array" ref="H91">VALUE(INDEX(_xlfn.TEXTSPLIT(Table1[[#This Row],[Item]], "-"), 7))</f>
        <v>1</v>
      </c>
      <c r="I9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1" s="1" t="str">
        <f>LEFT(RIGHT(Table1[[#This Row],[Item]],6),1)</f>
        <v>N</v>
      </c>
      <c r="K91" s="1" t="str">
        <f t="shared" si="1"/>
        <v>N</v>
      </c>
      <c r="L91" s="1" t="str">
        <f>RIGHT(Table1[[#This Row],[Item]],2)</f>
        <v>CA</v>
      </c>
      <c r="M91" s="1" t="s">
        <v>33</v>
      </c>
      <c r="N91" s="3" t="s">
        <v>107</v>
      </c>
      <c r="O91" s="1"/>
    </row>
    <row r="92" spans="1:15">
      <c r="A92" t="s">
        <v>108</v>
      </c>
      <c r="B92" s="1" t="str">
        <f>LEFT(Table1[[#This Row],[Item]], FIND("-", Table1[[#This Row],[Item]]) - 1)</f>
        <v>GX09</v>
      </c>
      <c r="C92" s="1" t="str">
        <f>MID(LEFT(Table1[[#This Row],[Item]], FIND("{token}", SUBSTITUTE(Table1[[#This Row],[Item]], "-", "{token}", 2)) - 1), FIND("-", Table1[[#This Row],[Item]]) + 1, LEN(Table1[[#This Row],[Item]]))</f>
        <v>RXL</v>
      </c>
      <c r="D92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9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2" s="1" cm="1">
        <f t="array" ref="F92">VALUE(INDEX(_xlfn.TEXTSPLIT(Table1[[#This Row],[Item]], "-"), 5))</f>
        <v>1</v>
      </c>
      <c r="G92" s="1" cm="1">
        <f t="array" ref="G92">VALUE(INDEX(_xlfn.TEXTSPLIT(Table1[[#This Row],[Item]], "-"), 6))</f>
        <v>2</v>
      </c>
      <c r="H92" s="1" cm="1">
        <f t="array" ref="H92">VALUE(INDEX(_xlfn.TEXTSPLIT(Table1[[#This Row],[Item]], "-"), 7))</f>
        <v>0</v>
      </c>
      <c r="I9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2" s="1" t="str">
        <f>LEFT(RIGHT(Table1[[#This Row],[Item]],6),1)</f>
        <v>N</v>
      </c>
      <c r="K92" s="1" t="str">
        <f t="shared" si="1"/>
        <v>N</v>
      </c>
      <c r="L92" s="1" t="str">
        <f>RIGHT(Table1[[#This Row],[Item]],2)</f>
        <v>CA</v>
      </c>
      <c r="M92" s="1" t="s">
        <v>33</v>
      </c>
      <c r="N92" s="3" t="s">
        <v>108</v>
      </c>
      <c r="O92" s="1"/>
    </row>
    <row r="93" spans="1:15">
      <c r="A93" t="s">
        <v>109</v>
      </c>
      <c r="B93" s="1" t="str">
        <f>LEFT(Table1[[#This Row],[Item]], FIND("-", Table1[[#This Row],[Item]]) - 1)</f>
        <v>GX10</v>
      </c>
      <c r="C93" s="1" t="str">
        <f>MID(LEFT(Table1[[#This Row],[Item]], FIND("{token}", SUBSTITUTE(Table1[[#This Row],[Item]], "-", "{token}", 2)) - 1), FIND("-", Table1[[#This Row],[Item]]) + 1, LEN(Table1[[#This Row],[Item]]))</f>
        <v>C</v>
      </c>
      <c r="D9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9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3" s="1" cm="1">
        <f t="array" ref="F93">VALUE(INDEX(_xlfn.TEXTSPLIT(Table1[[#This Row],[Item]], "-"), 5))</f>
        <v>1</v>
      </c>
      <c r="G93" s="1" cm="1">
        <f t="array" ref="G93">VALUE(INDEX(_xlfn.TEXTSPLIT(Table1[[#This Row],[Item]], "-"), 6))</f>
        <v>2</v>
      </c>
      <c r="H93" s="1" cm="1">
        <f t="array" ref="H93">VALUE(INDEX(_xlfn.TEXTSPLIT(Table1[[#This Row],[Item]], "-"), 7))</f>
        <v>0</v>
      </c>
      <c r="I9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3" s="1" t="str">
        <f>LEFT(RIGHT(Table1[[#This Row],[Item]],6),1)</f>
        <v>N</v>
      </c>
      <c r="K93" s="1" t="str">
        <f t="shared" si="1"/>
        <v>N</v>
      </c>
      <c r="L93" s="1" t="str">
        <f>RIGHT(Table1[[#This Row],[Item]],2)</f>
        <v>CA</v>
      </c>
      <c r="M93" s="1" t="s">
        <v>33</v>
      </c>
      <c r="N93" s="3" t="s">
        <v>109</v>
      </c>
      <c r="O93" s="1"/>
    </row>
    <row r="94" spans="1:15">
      <c r="A94" t="s">
        <v>110</v>
      </c>
      <c r="B94" s="1" t="str">
        <f>LEFT(Table1[[#This Row],[Item]], FIND("-", Table1[[#This Row],[Item]]) - 1)</f>
        <v>GX10</v>
      </c>
      <c r="C94" s="1" t="str">
        <f>MID(LEFT(Table1[[#This Row],[Item]], FIND("{token}", SUBSTITUTE(Table1[[#This Row],[Item]], "-", "{token}", 2)) - 1), FIND("-", Table1[[#This Row],[Item]]) + 1, LEN(Table1[[#This Row],[Item]]))</f>
        <v>C</v>
      </c>
      <c r="D94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94" s="1" cm="1">
        <f t="array" ref="F94">VALUE(INDEX(_xlfn.TEXTSPLIT(Table1[[#This Row],[Item]], "-"), 5))</f>
        <v>1</v>
      </c>
      <c r="G94" s="1" cm="1">
        <f t="array" ref="G94">VALUE(INDEX(_xlfn.TEXTSPLIT(Table1[[#This Row],[Item]], "-"), 6))</f>
        <v>1</v>
      </c>
      <c r="H94" s="1" cm="1">
        <f t="array" ref="H94">VALUE(INDEX(_xlfn.TEXTSPLIT(Table1[[#This Row],[Item]], "-"), 7))</f>
        <v>1</v>
      </c>
      <c r="I9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4" s="1" t="str">
        <f>LEFT(RIGHT(Table1[[#This Row],[Item]],6),1)</f>
        <v>N</v>
      </c>
      <c r="K94" s="1" t="str">
        <f t="shared" si="1"/>
        <v>N</v>
      </c>
      <c r="L94" s="1" t="str">
        <f>RIGHT(Table1[[#This Row],[Item]],2)</f>
        <v>CA</v>
      </c>
      <c r="M94" s="1" t="s">
        <v>33</v>
      </c>
      <c r="N94" s="3" t="s">
        <v>110</v>
      </c>
      <c r="O94" s="1"/>
    </row>
    <row r="95" spans="1:15">
      <c r="A95" t="s">
        <v>111</v>
      </c>
      <c r="B95" s="1" t="str">
        <f>LEFT(Table1[[#This Row],[Item]], FIND("-", Table1[[#This Row],[Item]]) - 1)</f>
        <v>GX10</v>
      </c>
      <c r="C95" s="1" t="str">
        <f>MID(LEFT(Table1[[#This Row],[Item]], FIND("{token}", SUBSTITUTE(Table1[[#This Row],[Item]], "-", "{token}", 2)) - 1), FIND("-", Table1[[#This Row],[Item]]) + 1, LEN(Table1[[#This Row],[Item]]))</f>
        <v>C</v>
      </c>
      <c r="D95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5" s="1" cm="1">
        <f t="array" ref="F95">VALUE(INDEX(_xlfn.TEXTSPLIT(Table1[[#This Row],[Item]], "-"), 5))</f>
        <v>1</v>
      </c>
      <c r="G95" s="1" cm="1">
        <f t="array" ref="G95">VALUE(INDEX(_xlfn.TEXTSPLIT(Table1[[#This Row],[Item]], "-"), 6))</f>
        <v>0</v>
      </c>
      <c r="H95" s="1" cm="1">
        <f t="array" ref="H95">VALUE(INDEX(_xlfn.TEXTSPLIT(Table1[[#This Row],[Item]], "-"), 7))</f>
        <v>0</v>
      </c>
      <c r="I9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5" s="1" t="str">
        <f>LEFT(RIGHT(Table1[[#This Row],[Item]],6),1)</f>
        <v>N</v>
      </c>
      <c r="K95" s="1" t="str">
        <f t="shared" si="1"/>
        <v>N</v>
      </c>
      <c r="L95" s="1" t="str">
        <f>RIGHT(Table1[[#This Row],[Item]],2)</f>
        <v>CA</v>
      </c>
      <c r="M95" s="1" t="s">
        <v>33</v>
      </c>
      <c r="N95" s="3" t="s">
        <v>111</v>
      </c>
      <c r="O95" s="1"/>
    </row>
    <row r="96" spans="1:15">
      <c r="A96" t="s">
        <v>112</v>
      </c>
      <c r="B96" s="1" t="str">
        <f>LEFT(Table1[[#This Row],[Item]], FIND("-", Table1[[#This Row],[Item]]) - 1)</f>
        <v>GX10</v>
      </c>
      <c r="C96" s="1" t="str">
        <f>MID(LEFT(Table1[[#This Row],[Item]], FIND("{token}", SUBSTITUTE(Table1[[#This Row],[Item]], "-", "{token}", 2)) - 1), FIND("-", Table1[[#This Row],[Item]]) + 1, LEN(Table1[[#This Row],[Item]]))</f>
        <v>C</v>
      </c>
      <c r="D96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6" s="1" cm="1">
        <f t="array" ref="F96">VALUE(INDEX(_xlfn.TEXTSPLIT(Table1[[#This Row],[Item]], "-"), 5))</f>
        <v>1</v>
      </c>
      <c r="G96" s="1" cm="1">
        <f t="array" ref="G96">VALUE(INDEX(_xlfn.TEXTSPLIT(Table1[[#This Row],[Item]], "-"), 6))</f>
        <v>1</v>
      </c>
      <c r="H96" s="1" cm="1">
        <f t="array" ref="H96">VALUE(INDEX(_xlfn.TEXTSPLIT(Table1[[#This Row],[Item]], "-"), 7))</f>
        <v>0</v>
      </c>
      <c r="I9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6" s="1" t="str">
        <f>LEFT(RIGHT(Table1[[#This Row],[Item]],6),1)</f>
        <v>N</v>
      </c>
      <c r="K96" s="1" t="str">
        <f t="shared" si="1"/>
        <v>N</v>
      </c>
      <c r="L96" s="1" t="str">
        <f>RIGHT(Table1[[#This Row],[Item]],2)</f>
        <v>CA</v>
      </c>
      <c r="M96" s="1" t="s">
        <v>33</v>
      </c>
      <c r="N96" s="3" t="s">
        <v>112</v>
      </c>
      <c r="O96" s="1"/>
    </row>
    <row r="97" spans="1:15">
      <c r="A97" t="s">
        <v>113</v>
      </c>
      <c r="B97" s="1" t="str">
        <f>LEFT(Table1[[#This Row],[Item]], FIND("-", Table1[[#This Row],[Item]]) - 1)</f>
        <v>GX10</v>
      </c>
      <c r="C97" s="1" t="str">
        <f>MID(LEFT(Table1[[#This Row],[Item]], FIND("{token}", SUBSTITUTE(Table1[[#This Row],[Item]], "-", "{token}", 2)) - 1), FIND("-", Table1[[#This Row],[Item]]) + 1, LEN(Table1[[#This Row],[Item]]))</f>
        <v>C</v>
      </c>
      <c r="D97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7" s="1" cm="1">
        <f t="array" ref="F97">VALUE(INDEX(_xlfn.TEXTSPLIT(Table1[[#This Row],[Item]], "-"), 5))</f>
        <v>1</v>
      </c>
      <c r="G97" s="1" cm="1">
        <f t="array" ref="G97">VALUE(INDEX(_xlfn.TEXTSPLIT(Table1[[#This Row],[Item]], "-"), 6))</f>
        <v>2</v>
      </c>
      <c r="H97" s="1" cm="1">
        <f t="array" ref="H97">VALUE(INDEX(_xlfn.TEXTSPLIT(Table1[[#This Row],[Item]], "-"), 7))</f>
        <v>0</v>
      </c>
      <c r="I9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7" s="1" t="str">
        <f>LEFT(RIGHT(Table1[[#This Row],[Item]],6),1)</f>
        <v>N</v>
      </c>
      <c r="K97" s="1" t="str">
        <f t="shared" si="1"/>
        <v>N</v>
      </c>
      <c r="L97" s="1" t="str">
        <f>RIGHT(Table1[[#This Row],[Item]],2)</f>
        <v>CA</v>
      </c>
      <c r="M97" s="1" t="s">
        <v>16</v>
      </c>
      <c r="N97" s="3" t="s">
        <v>113</v>
      </c>
      <c r="O97" s="1">
        <v>18</v>
      </c>
    </row>
    <row r="98" spans="1:15">
      <c r="A98" t="s">
        <v>114</v>
      </c>
      <c r="B98" s="1" t="str">
        <f>LEFT(Table1[[#This Row],[Item]], FIND("-", Table1[[#This Row],[Item]]) - 1)</f>
        <v>GX10</v>
      </c>
      <c r="C98" s="1" t="str">
        <f>MID(LEFT(Table1[[#This Row],[Item]], FIND("{token}", SUBSTITUTE(Table1[[#This Row],[Item]], "-", "{token}", 2)) - 1), FIND("-", Table1[[#This Row],[Item]]) + 1, LEN(Table1[[#This Row],[Item]]))</f>
        <v>C</v>
      </c>
      <c r="D9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8" s="1" cm="1">
        <f t="array" ref="F98">VALUE(INDEX(_xlfn.TEXTSPLIT(Table1[[#This Row],[Item]], "-"), 5))</f>
        <v>1</v>
      </c>
      <c r="G98" s="1" cm="1">
        <f t="array" ref="G98">VALUE(INDEX(_xlfn.TEXTSPLIT(Table1[[#This Row],[Item]], "-"), 6))</f>
        <v>2</v>
      </c>
      <c r="H98" s="1" cm="1">
        <f t="array" ref="H98">VALUE(INDEX(_xlfn.TEXTSPLIT(Table1[[#This Row],[Item]], "-"), 7))</f>
        <v>0</v>
      </c>
      <c r="I9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8" s="1" t="str">
        <f>LEFT(RIGHT(Table1[[#This Row],[Item]],6),1)</f>
        <v>N</v>
      </c>
      <c r="K98" s="1" t="str">
        <f t="shared" si="1"/>
        <v>N</v>
      </c>
      <c r="L98" s="1" t="str">
        <f>RIGHT(Table1[[#This Row],[Item]],2)</f>
        <v>CA</v>
      </c>
      <c r="M98" s="1" t="s">
        <v>33</v>
      </c>
      <c r="N98" s="3" t="s">
        <v>114</v>
      </c>
      <c r="O98" s="1"/>
    </row>
    <row r="99" spans="1:15">
      <c r="A99" t="s">
        <v>115</v>
      </c>
      <c r="B99" s="1" t="str">
        <f>LEFT(Table1[[#This Row],[Item]], FIND("-", Table1[[#This Row],[Item]]) - 1)</f>
        <v>GX10</v>
      </c>
      <c r="C99" s="1" t="str">
        <f>MID(LEFT(Table1[[#This Row],[Item]], FIND("{token}", SUBSTITUTE(Table1[[#This Row],[Item]], "-", "{token}", 2)) - 1), FIND("-", Table1[[#This Row],[Item]]) + 1, LEN(Table1[[#This Row],[Item]]))</f>
        <v>C</v>
      </c>
      <c r="D99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9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9" s="1" cm="1">
        <f t="array" ref="F99">VALUE(INDEX(_xlfn.TEXTSPLIT(Table1[[#This Row],[Item]], "-"), 5))</f>
        <v>0</v>
      </c>
      <c r="G99" s="1" cm="1">
        <f t="array" ref="G99">VALUE(INDEX(_xlfn.TEXTSPLIT(Table1[[#This Row],[Item]], "-"), 6))</f>
        <v>2</v>
      </c>
      <c r="H99" s="1" cm="1">
        <f t="array" ref="H99">VALUE(INDEX(_xlfn.TEXTSPLIT(Table1[[#This Row],[Item]], "-"), 7))</f>
        <v>0</v>
      </c>
      <c r="I9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9" s="1" t="str">
        <f>LEFT(RIGHT(Table1[[#This Row],[Item]],6),1)</f>
        <v>N</v>
      </c>
      <c r="K99" s="1" t="str">
        <f t="shared" si="1"/>
        <v>N</v>
      </c>
      <c r="L99" s="1" t="str">
        <f>RIGHT(Table1[[#This Row],[Item]],2)</f>
        <v>CA</v>
      </c>
      <c r="M99" s="1" t="s">
        <v>33</v>
      </c>
      <c r="N99" s="3" t="s">
        <v>115</v>
      </c>
      <c r="O99" s="1"/>
    </row>
    <row r="100" spans="1:15">
      <c r="A100" t="s">
        <v>116</v>
      </c>
      <c r="B100" s="1" t="str">
        <f>LEFT(Table1[[#This Row],[Item]], FIND("-", Table1[[#This Row],[Item]]) - 1)</f>
        <v>GX10</v>
      </c>
      <c r="C100" s="1" t="str">
        <f>MID(LEFT(Table1[[#This Row],[Item]], FIND("{token}", SUBSTITUTE(Table1[[#This Row],[Item]], "-", "{token}", 2)) - 1), FIND("-", Table1[[#This Row],[Item]]) + 1, LEN(Table1[[#This Row],[Item]]))</f>
        <v>C</v>
      </c>
      <c r="D100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10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00" s="1" cm="1">
        <f t="array" ref="F100">VALUE(INDEX(_xlfn.TEXTSPLIT(Table1[[#This Row],[Item]], "-"), 5))</f>
        <v>1</v>
      </c>
      <c r="G100" s="1" cm="1">
        <f t="array" ref="G100">VALUE(INDEX(_xlfn.TEXTSPLIT(Table1[[#This Row],[Item]], "-"), 6))</f>
        <v>2</v>
      </c>
      <c r="H100" s="1" cm="1">
        <f t="array" ref="H100">VALUE(INDEX(_xlfn.TEXTSPLIT(Table1[[#This Row],[Item]], "-"), 7))</f>
        <v>0</v>
      </c>
      <c r="I10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0" s="1" t="str">
        <f>LEFT(RIGHT(Table1[[#This Row],[Item]],6),1)</f>
        <v>N</v>
      </c>
      <c r="K100" s="1" t="str">
        <f t="shared" si="1"/>
        <v>N</v>
      </c>
      <c r="L100" s="1" t="str">
        <f>RIGHT(Table1[[#This Row],[Item]],2)</f>
        <v>CA</v>
      </c>
      <c r="M100" s="1" t="s">
        <v>33</v>
      </c>
      <c r="N100" s="3" t="s">
        <v>116</v>
      </c>
      <c r="O100" s="1"/>
    </row>
    <row r="101" spans="1:15">
      <c r="A101" s="4" t="s">
        <v>117</v>
      </c>
      <c r="B101" s="1" t="str">
        <f>LEFT(Table1[[#This Row],[Item]], FIND("-", Table1[[#This Row],[Item]]) - 1)</f>
        <v>GX10</v>
      </c>
      <c r="C101" s="1" t="str">
        <f>MID(LEFT(Table1[[#This Row],[Item]], FIND("{token}", SUBSTITUTE(Table1[[#This Row],[Item]], "-", "{token}", 2)) - 1), FIND("-", Table1[[#This Row],[Item]]) + 1, LEN(Table1[[#This Row],[Item]]))</f>
        <v>CXL</v>
      </c>
      <c r="D10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0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01" s="1" cm="1">
        <f t="array" ref="F101">VALUE(INDEX(_xlfn.TEXTSPLIT(Table1[[#This Row],[Item]], "-"), 5))</f>
        <v>1</v>
      </c>
      <c r="G101" s="1" cm="1">
        <f t="array" ref="G101">VALUE(INDEX(_xlfn.TEXTSPLIT(Table1[[#This Row],[Item]], "-"), 6))</f>
        <v>2</v>
      </c>
      <c r="H101" s="1" cm="1">
        <f t="array" ref="H101">VALUE(INDEX(_xlfn.TEXTSPLIT(Table1[[#This Row],[Item]], "-"), 7))</f>
        <v>0</v>
      </c>
      <c r="I10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1" s="1" t="str">
        <f>LEFT(RIGHT(Table1[[#This Row],[Item]],6),1)</f>
        <v>N</v>
      </c>
      <c r="K101" s="1" t="str">
        <f t="shared" si="1"/>
        <v>N</v>
      </c>
      <c r="L101" s="1" t="str">
        <f>RIGHT(Table1[[#This Row],[Item]],2)</f>
        <v>CA</v>
      </c>
      <c r="M101" s="1" t="s">
        <v>33</v>
      </c>
      <c r="N101" s="3" t="s">
        <v>117</v>
      </c>
      <c r="O101" s="1"/>
    </row>
    <row r="102" spans="1:15">
      <c r="A102" s="4" t="s">
        <v>118</v>
      </c>
      <c r="B102" s="1" t="str">
        <f>LEFT(Table1[[#This Row],[Item]], FIND("-", Table1[[#This Row],[Item]]) - 1)</f>
        <v>GX10</v>
      </c>
      <c r="C102" s="1" t="str">
        <f>MID(LEFT(Table1[[#This Row],[Item]], FIND("{token}", SUBSTITUTE(Table1[[#This Row],[Item]], "-", "{token}", 2)) - 1), FIND("-", Table1[[#This Row],[Item]]) + 1, LEN(Table1[[#This Row],[Item]]))</f>
        <v>CXL</v>
      </c>
      <c r="D102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10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02" s="1" cm="1">
        <f t="array" ref="F102">VALUE(INDEX(_xlfn.TEXTSPLIT(Table1[[#This Row],[Item]], "-"), 5))</f>
        <v>1</v>
      </c>
      <c r="G102" s="1" cm="1">
        <f t="array" ref="G102">VALUE(INDEX(_xlfn.TEXTSPLIT(Table1[[#This Row],[Item]], "-"), 6))</f>
        <v>2</v>
      </c>
      <c r="H102" s="1" cm="1">
        <f t="array" ref="H102">VALUE(INDEX(_xlfn.TEXTSPLIT(Table1[[#This Row],[Item]], "-"), 7))</f>
        <v>0</v>
      </c>
      <c r="I10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2" s="1" t="str">
        <f>LEFT(RIGHT(Table1[[#This Row],[Item]],6),1)</f>
        <v>N</v>
      </c>
      <c r="K102" s="1" t="str">
        <f t="shared" si="1"/>
        <v>N</v>
      </c>
      <c r="L102" s="1" t="str">
        <f>RIGHT(Table1[[#This Row],[Item]],2)</f>
        <v>CA</v>
      </c>
      <c r="M102" s="1" t="s">
        <v>33</v>
      </c>
      <c r="N102" s="3" t="s">
        <v>118</v>
      </c>
      <c r="O102" s="1"/>
    </row>
    <row r="103" spans="1:15">
      <c r="A103" s="2" t="s">
        <v>119</v>
      </c>
      <c r="B103" s="1" t="str">
        <f>LEFT(Table1[[#This Row],[Item]], FIND("-", Table1[[#This Row],[Item]]) - 1)</f>
        <v>GX10</v>
      </c>
      <c r="C103" s="1" t="str">
        <f>MID(LEFT(Table1[[#This Row],[Item]], FIND("{token}", SUBSTITUTE(Table1[[#This Row],[Item]], "-", "{token}", 2)) - 1), FIND("-", Table1[[#This Row],[Item]]) + 1, LEN(Table1[[#This Row],[Item]]))</f>
        <v>CXL</v>
      </c>
      <c r="D10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0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03" s="1" cm="1">
        <f t="array" ref="F103">VALUE(INDEX(_xlfn.TEXTSPLIT(Table1[[#This Row],[Item]], "-"), 5))</f>
        <v>1</v>
      </c>
      <c r="G103" s="1" cm="1">
        <f t="array" ref="G103">VALUE(INDEX(_xlfn.TEXTSPLIT(Table1[[#This Row],[Item]], "-"), 6))</f>
        <v>1</v>
      </c>
      <c r="H103" s="1" cm="1">
        <f t="array" ref="H103">VALUE(INDEX(_xlfn.TEXTSPLIT(Table1[[#This Row],[Item]], "-"), 7))</f>
        <v>1</v>
      </c>
      <c r="I10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3" s="1" t="str">
        <f>LEFT(RIGHT(Table1[[#This Row],[Item]],6),1)</f>
        <v>N</v>
      </c>
      <c r="K103" s="1" t="str">
        <f t="shared" si="1"/>
        <v>N</v>
      </c>
      <c r="L103" s="1" t="str">
        <f>RIGHT(Table1[[#This Row],[Item]],2)</f>
        <v>CA</v>
      </c>
      <c r="M103" s="1" t="s">
        <v>33</v>
      </c>
      <c r="N103" s="3" t="s">
        <v>119</v>
      </c>
      <c r="O103" s="1"/>
    </row>
    <row r="104" spans="1:15">
      <c r="A104" s="2" t="s">
        <v>120</v>
      </c>
      <c r="B104" s="1" t="str">
        <f>LEFT(Table1[[#This Row],[Item]], FIND("-", Table1[[#This Row],[Item]]) - 1)</f>
        <v>GX10</v>
      </c>
      <c r="C104" s="1" t="str">
        <f>MID(LEFT(Table1[[#This Row],[Item]], FIND("{token}", SUBSTITUTE(Table1[[#This Row],[Item]], "-", "{token}", 2)) - 1), FIND("-", Table1[[#This Row],[Item]]) + 1, LEN(Table1[[#This Row],[Item]]))</f>
        <v>CXL</v>
      </c>
      <c r="D10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0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04" s="1" cm="1">
        <f t="array" ref="F104">VALUE(INDEX(_xlfn.TEXTSPLIT(Table1[[#This Row],[Item]], "-"), 5))</f>
        <v>1</v>
      </c>
      <c r="G104" s="1" cm="1">
        <f t="array" ref="G104">VALUE(INDEX(_xlfn.TEXTSPLIT(Table1[[#This Row],[Item]], "-"), 6))</f>
        <v>2</v>
      </c>
      <c r="H104" s="1" cm="1">
        <f t="array" ref="H104">VALUE(INDEX(_xlfn.TEXTSPLIT(Table1[[#This Row],[Item]], "-"), 7))</f>
        <v>0</v>
      </c>
      <c r="I10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4" s="1" t="str">
        <f>LEFT(RIGHT(Table1[[#This Row],[Item]],6),1)</f>
        <v>N</v>
      </c>
      <c r="K104" s="1" t="str">
        <f t="shared" si="1"/>
        <v>N</v>
      </c>
      <c r="L104" s="1" t="str">
        <f>RIGHT(Table1[[#This Row],[Item]],2)</f>
        <v>CA</v>
      </c>
      <c r="M104" s="1" t="s">
        <v>33</v>
      </c>
      <c r="N104" s="3" t="s">
        <v>120</v>
      </c>
      <c r="O104" s="1"/>
    </row>
    <row r="105" spans="1:15">
      <c r="A105" t="s">
        <v>121</v>
      </c>
      <c r="B105" s="1" t="str">
        <f>LEFT(Table1[[#This Row],[Item]], FIND("-", Table1[[#This Row],[Item]]) - 1)</f>
        <v>GX10</v>
      </c>
      <c r="C105" s="1" t="str">
        <f>MID(LEFT(Table1[[#This Row],[Item]], FIND("{token}", SUBSTITUTE(Table1[[#This Row],[Item]], "-", "{token}", 2)) - 1), FIND("-", Table1[[#This Row],[Item]]) + 1, LEN(Table1[[#This Row],[Item]]))</f>
        <v>CXL</v>
      </c>
      <c r="D105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10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05" s="1" cm="1">
        <f t="array" ref="F105">VALUE(INDEX(_xlfn.TEXTSPLIT(Table1[[#This Row],[Item]], "-"), 5))</f>
        <v>1</v>
      </c>
      <c r="G105" s="1" cm="1">
        <f t="array" ref="G105">VALUE(INDEX(_xlfn.TEXTSPLIT(Table1[[#This Row],[Item]], "-"), 6))</f>
        <v>2</v>
      </c>
      <c r="H105" s="1" cm="1">
        <f t="array" ref="H105">VALUE(INDEX(_xlfn.TEXTSPLIT(Table1[[#This Row],[Item]], "-"), 7))</f>
        <v>0</v>
      </c>
      <c r="I10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5" s="1" t="str">
        <f>LEFT(RIGHT(Table1[[#This Row],[Item]],6),1)</f>
        <v>N</v>
      </c>
      <c r="K105" s="1" t="str">
        <f t="shared" si="1"/>
        <v>N</v>
      </c>
      <c r="L105" s="1" t="str">
        <f>RIGHT(Table1[[#This Row],[Item]],2)</f>
        <v>CA</v>
      </c>
      <c r="M105" s="1" t="s">
        <v>33</v>
      </c>
      <c r="N105" s="3" t="s">
        <v>121</v>
      </c>
      <c r="O105" s="1"/>
    </row>
    <row r="106" spans="1:15">
      <c r="A106" t="s">
        <v>122</v>
      </c>
      <c r="B106" s="1" t="str">
        <f>LEFT(Table1[[#This Row],[Item]], FIND("-", Table1[[#This Row],[Item]]) - 1)</f>
        <v>GX10</v>
      </c>
      <c r="C106" s="1" t="str">
        <f>MID(LEFT(Table1[[#This Row],[Item]], FIND("{token}", SUBSTITUTE(Table1[[#This Row],[Item]], "-", "{token}", 2)) - 1), FIND("-", Table1[[#This Row],[Item]]) + 1, LEN(Table1[[#This Row],[Item]]))</f>
        <v>D</v>
      </c>
      <c r="D106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0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06" s="1" cm="1">
        <f t="array" ref="F106">VALUE(INDEX(_xlfn.TEXTSPLIT(Table1[[#This Row],[Item]], "-"), 5))</f>
        <v>1</v>
      </c>
      <c r="G106" s="1" cm="1">
        <f t="array" ref="G106">VALUE(INDEX(_xlfn.TEXTSPLIT(Table1[[#This Row],[Item]], "-"), 6))</f>
        <v>0</v>
      </c>
      <c r="H106" s="1" cm="1">
        <f t="array" ref="H106">VALUE(INDEX(_xlfn.TEXTSPLIT(Table1[[#This Row],[Item]], "-"), 7))</f>
        <v>1</v>
      </c>
      <c r="I10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6" s="1" t="str">
        <f>LEFT(RIGHT(Table1[[#This Row],[Item]],6),1)</f>
        <v>N</v>
      </c>
      <c r="K106" s="1" t="str">
        <f t="shared" si="1"/>
        <v>N</v>
      </c>
      <c r="L106" s="1" t="str">
        <f>RIGHT(Table1[[#This Row],[Item]],2)</f>
        <v>CA</v>
      </c>
      <c r="M106" s="1" t="s">
        <v>33</v>
      </c>
      <c r="N106" s="3" t="s">
        <v>122</v>
      </c>
      <c r="O106" s="1"/>
    </row>
    <row r="107" spans="1:15">
      <c r="A107" t="s">
        <v>123</v>
      </c>
      <c r="B107" s="1" t="str">
        <f>LEFT(Table1[[#This Row],[Item]], FIND("-", Table1[[#This Row],[Item]]) - 1)</f>
        <v>GX10</v>
      </c>
      <c r="C107" s="1" t="str">
        <f>MID(LEFT(Table1[[#This Row],[Item]], FIND("{token}", SUBSTITUTE(Table1[[#This Row],[Item]], "-", "{token}", 2)) - 1), FIND("-", Table1[[#This Row],[Item]]) + 1, LEN(Table1[[#This Row],[Item]]))</f>
        <v>D</v>
      </c>
      <c r="D10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0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07" s="1" cm="1">
        <f t="array" ref="F107">VALUE(INDEX(_xlfn.TEXTSPLIT(Table1[[#This Row],[Item]], "-"), 5))</f>
        <v>1</v>
      </c>
      <c r="G107" s="1" cm="1">
        <f t="array" ref="G107">VALUE(INDEX(_xlfn.TEXTSPLIT(Table1[[#This Row],[Item]], "-"), 6))</f>
        <v>1</v>
      </c>
      <c r="H107" s="1" cm="1">
        <f t="array" ref="H107">VALUE(INDEX(_xlfn.TEXTSPLIT(Table1[[#This Row],[Item]], "-"), 7))</f>
        <v>0</v>
      </c>
      <c r="I10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7" s="1" t="str">
        <f>LEFT(RIGHT(Table1[[#This Row],[Item]],6),1)</f>
        <v>N</v>
      </c>
      <c r="K107" s="1" t="str">
        <f t="shared" si="1"/>
        <v>N</v>
      </c>
      <c r="L107" s="1" t="str">
        <f>RIGHT(Table1[[#This Row],[Item]],2)</f>
        <v>CA</v>
      </c>
      <c r="M107" s="1" t="s">
        <v>16</v>
      </c>
      <c r="N107" s="3" t="s">
        <v>123</v>
      </c>
      <c r="O107" s="1">
        <v>15</v>
      </c>
    </row>
    <row r="108" spans="1:15">
      <c r="A108" t="s">
        <v>124</v>
      </c>
      <c r="B108" s="1" t="str">
        <f>LEFT(Table1[[#This Row],[Item]], FIND("-", Table1[[#This Row],[Item]]) - 1)</f>
        <v>GX10</v>
      </c>
      <c r="C108" s="1" t="str">
        <f>MID(LEFT(Table1[[#This Row],[Item]], FIND("{token}", SUBSTITUTE(Table1[[#This Row],[Item]], "-", "{token}", 2)) - 1), FIND("-", Table1[[#This Row],[Item]]) + 1, LEN(Table1[[#This Row],[Item]]))</f>
        <v>D</v>
      </c>
      <c r="D108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10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08" s="1" cm="1">
        <f t="array" ref="F108">VALUE(INDEX(_xlfn.TEXTSPLIT(Table1[[#This Row],[Item]], "-"), 5))</f>
        <v>1</v>
      </c>
      <c r="G108" s="1" cm="1">
        <f t="array" ref="G108">VALUE(INDEX(_xlfn.TEXTSPLIT(Table1[[#This Row],[Item]], "-"), 6))</f>
        <v>1</v>
      </c>
      <c r="H108" s="1" cm="1">
        <f t="array" ref="H108">VALUE(INDEX(_xlfn.TEXTSPLIT(Table1[[#This Row],[Item]], "-"), 7))</f>
        <v>0</v>
      </c>
      <c r="I10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8" s="1" t="str">
        <f>LEFT(RIGHT(Table1[[#This Row],[Item]],6),1)</f>
        <v>N</v>
      </c>
      <c r="K108" s="1" t="str">
        <f t="shared" si="1"/>
        <v>N</v>
      </c>
      <c r="L108" s="1" t="str">
        <f>RIGHT(Table1[[#This Row],[Item]],2)</f>
        <v>CA</v>
      </c>
      <c r="M108" s="1" t="s">
        <v>33</v>
      </c>
      <c r="N108" s="3" t="s">
        <v>124</v>
      </c>
      <c r="O108" s="1"/>
    </row>
    <row r="109" spans="1:15">
      <c r="A109" t="s">
        <v>125</v>
      </c>
      <c r="B109" s="1" t="str">
        <f>LEFT(Table1[[#This Row],[Item]], FIND("-", Table1[[#This Row],[Item]]) - 1)</f>
        <v>GX10</v>
      </c>
      <c r="C109" s="1" t="str">
        <f>MID(LEFT(Table1[[#This Row],[Item]], FIND("{token}", SUBSTITUTE(Table1[[#This Row],[Item]], "-", "{token}", 2)) - 1), FIND("-", Table1[[#This Row],[Item]]) + 1, LEN(Table1[[#This Row],[Item]]))</f>
        <v>D</v>
      </c>
      <c r="D10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0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09" s="1" cm="1">
        <f t="array" ref="F109">VALUE(INDEX(_xlfn.TEXTSPLIT(Table1[[#This Row],[Item]], "-"), 5))</f>
        <v>1</v>
      </c>
      <c r="G109" s="1" cm="1">
        <f t="array" ref="G109">VALUE(INDEX(_xlfn.TEXTSPLIT(Table1[[#This Row],[Item]], "-"), 6))</f>
        <v>1</v>
      </c>
      <c r="H109" s="1" cm="1">
        <f t="array" ref="H109">VALUE(INDEX(_xlfn.TEXTSPLIT(Table1[[#This Row],[Item]], "-"), 7))</f>
        <v>0</v>
      </c>
      <c r="I10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9" s="1" t="str">
        <f>LEFT(RIGHT(Table1[[#This Row],[Item]],6),1)</f>
        <v>N</v>
      </c>
      <c r="K109" s="1" t="str">
        <f t="shared" si="1"/>
        <v>N</v>
      </c>
      <c r="L109" s="1" t="str">
        <f>RIGHT(Table1[[#This Row],[Item]],2)</f>
        <v>CA</v>
      </c>
      <c r="M109" s="1" t="s">
        <v>33</v>
      </c>
      <c r="N109" s="3" t="s">
        <v>125</v>
      </c>
      <c r="O109" s="1"/>
    </row>
    <row r="110" spans="1:15">
      <c r="A110" t="s">
        <v>126</v>
      </c>
      <c r="B110" s="1" t="str">
        <f>LEFT(Table1[[#This Row],[Item]], FIND("-", Table1[[#This Row],[Item]]) - 1)</f>
        <v>GX10</v>
      </c>
      <c r="C110" s="1" t="str">
        <f>MID(LEFT(Table1[[#This Row],[Item]], FIND("{token}", SUBSTITUTE(Table1[[#This Row],[Item]], "-", "{token}", 2)) - 1), FIND("-", Table1[[#This Row],[Item]]) + 1, LEN(Table1[[#This Row],[Item]]))</f>
        <v>DXL</v>
      </c>
      <c r="D11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1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10" s="1" cm="1">
        <f t="array" ref="F110">VALUE(INDEX(_xlfn.TEXTSPLIT(Table1[[#This Row],[Item]], "-"), 5))</f>
        <v>1</v>
      </c>
      <c r="G110" s="1" cm="1">
        <f t="array" ref="G110">VALUE(INDEX(_xlfn.TEXTSPLIT(Table1[[#This Row],[Item]], "-"), 6))</f>
        <v>0</v>
      </c>
      <c r="H110" s="1" cm="1">
        <f t="array" ref="H110">VALUE(INDEX(_xlfn.TEXTSPLIT(Table1[[#This Row],[Item]], "-"), 7))</f>
        <v>1</v>
      </c>
      <c r="I11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10" s="1" t="str">
        <f>LEFT(RIGHT(Table1[[#This Row],[Item]],6),1)</f>
        <v>N</v>
      </c>
      <c r="K110" s="1" t="str">
        <f t="shared" si="1"/>
        <v>N</v>
      </c>
      <c r="L110" s="1" t="str">
        <f>RIGHT(Table1[[#This Row],[Item]],2)</f>
        <v>CA</v>
      </c>
      <c r="M110" s="1" t="s">
        <v>33</v>
      </c>
      <c r="N110" s="3" t="s">
        <v>126</v>
      </c>
      <c r="O110" s="1"/>
    </row>
    <row r="111" spans="1:15">
      <c r="A111" t="s">
        <v>127</v>
      </c>
      <c r="B111" s="1" t="str">
        <f>LEFT(Table1[[#This Row],[Item]], FIND("-", Table1[[#This Row],[Item]]) - 1)</f>
        <v>GX10</v>
      </c>
      <c r="C111" s="1" t="str">
        <f>MID(LEFT(Table1[[#This Row],[Item]], FIND("{token}", SUBSTITUTE(Table1[[#This Row],[Item]], "-", "{token}", 2)) - 1), FIND("-", Table1[[#This Row],[Item]]) + 1, LEN(Table1[[#This Row],[Item]]))</f>
        <v>DXL</v>
      </c>
      <c r="D11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1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11" s="1" cm="1">
        <f t="array" ref="F111">VALUE(INDEX(_xlfn.TEXTSPLIT(Table1[[#This Row],[Item]], "-"), 5))</f>
        <v>1</v>
      </c>
      <c r="G111" s="1" cm="1">
        <f t="array" ref="G111">VALUE(INDEX(_xlfn.TEXTSPLIT(Table1[[#This Row],[Item]], "-"), 6))</f>
        <v>1</v>
      </c>
      <c r="H111" s="1" cm="1">
        <f t="array" ref="H111">VALUE(INDEX(_xlfn.TEXTSPLIT(Table1[[#This Row],[Item]], "-"), 7))</f>
        <v>0</v>
      </c>
      <c r="I11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11" s="1" t="str">
        <f>LEFT(RIGHT(Table1[[#This Row],[Item]],6),1)</f>
        <v>N</v>
      </c>
      <c r="K111" s="1" t="str">
        <f t="shared" si="1"/>
        <v>N</v>
      </c>
      <c r="L111" s="1" t="str">
        <f>RIGHT(Table1[[#This Row],[Item]],2)</f>
        <v>CA</v>
      </c>
      <c r="M111" s="1" t="s">
        <v>33</v>
      </c>
      <c r="N111" s="3" t="s">
        <v>127</v>
      </c>
      <c r="O111" s="1"/>
    </row>
    <row r="112" spans="1:15">
      <c r="A112" s="2" t="s">
        <v>128</v>
      </c>
      <c r="B112" s="1" t="str">
        <f>LEFT(Table1[[#This Row],[Item]], FIND("-", Table1[[#This Row],[Item]]) - 1)</f>
        <v>GX10</v>
      </c>
      <c r="C112" s="1" t="str">
        <f>MID(LEFT(Table1[[#This Row],[Item]], FIND("{token}", SUBSTITUTE(Table1[[#This Row],[Item]], "-", "{token}", 2)) - 1), FIND("-", Table1[[#This Row],[Item]]) + 1, LEN(Table1[[#This Row],[Item]]))</f>
        <v>L</v>
      </c>
      <c r="D11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1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12" s="1" cm="1">
        <f t="array" ref="F112">VALUE(INDEX(_xlfn.TEXTSPLIT(Table1[[#This Row],[Item]], "-"), 5))</f>
        <v>1</v>
      </c>
      <c r="G112" s="1" cm="1">
        <f t="array" ref="G112">VALUE(INDEX(_xlfn.TEXTSPLIT(Table1[[#This Row],[Item]], "-"), 6))</f>
        <v>2</v>
      </c>
      <c r="H112" s="1" cm="1">
        <f t="array" ref="H112">VALUE(INDEX(_xlfn.TEXTSPLIT(Table1[[#This Row],[Item]], "-"), 7))</f>
        <v>0</v>
      </c>
      <c r="I11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12" s="1" t="str">
        <f>LEFT(RIGHT(Table1[[#This Row],[Item]],6),1)</f>
        <v>N</v>
      </c>
      <c r="K112" s="1" t="str">
        <f t="shared" si="1"/>
        <v>N</v>
      </c>
      <c r="L112" s="1" t="str">
        <f>RIGHT(Table1[[#This Row],[Item]],2)</f>
        <v>CA</v>
      </c>
      <c r="M112" s="1" t="s">
        <v>33</v>
      </c>
      <c r="N112" s="3" t="s">
        <v>128</v>
      </c>
      <c r="O112" s="1"/>
    </row>
    <row r="113" spans="1:15">
      <c r="A113" t="s">
        <v>129</v>
      </c>
      <c r="B113" s="1" t="str">
        <f>LEFT(Table1[[#This Row],[Item]], FIND("-", Table1[[#This Row],[Item]]) - 1)</f>
        <v>GX10</v>
      </c>
      <c r="C113" s="1" t="str">
        <f>MID(LEFT(Table1[[#This Row],[Item]], FIND("{token}", SUBSTITUTE(Table1[[#This Row],[Item]], "-", "{token}", 2)) - 1), FIND("-", Table1[[#This Row],[Item]]) + 1, LEN(Table1[[#This Row],[Item]]))</f>
        <v>R</v>
      </c>
      <c r="D11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1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13" s="1" cm="1">
        <f t="array" ref="F113">VALUE(INDEX(_xlfn.TEXTSPLIT(Table1[[#This Row],[Item]], "-"), 5))</f>
        <v>1</v>
      </c>
      <c r="G113" s="1" cm="1">
        <f t="array" ref="G113">VALUE(INDEX(_xlfn.TEXTSPLIT(Table1[[#This Row],[Item]], "-"), 6))</f>
        <v>2</v>
      </c>
      <c r="H113" s="1" cm="1">
        <f t="array" ref="H113">VALUE(INDEX(_xlfn.TEXTSPLIT(Table1[[#This Row],[Item]], "-"), 7))</f>
        <v>0</v>
      </c>
      <c r="I11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13" s="1" t="str">
        <f>LEFT(RIGHT(Table1[[#This Row],[Item]],6),1)</f>
        <v>N</v>
      </c>
      <c r="K113" s="1" t="str">
        <f t="shared" si="1"/>
        <v>N</v>
      </c>
      <c r="L113" s="1" t="str">
        <f>RIGHT(Table1[[#This Row],[Item]],2)</f>
        <v>CA</v>
      </c>
      <c r="M113" s="1" t="s">
        <v>33</v>
      </c>
      <c r="N113" s="3" t="s">
        <v>129</v>
      </c>
      <c r="O113" s="1"/>
    </row>
    <row r="114" spans="1:15">
      <c r="A114" t="s">
        <v>130</v>
      </c>
      <c r="B114" s="1" t="str">
        <f>LEFT(Table1[[#This Row],[Item]], FIND("-", Table1[[#This Row],[Item]]) - 1)</f>
        <v>GX12</v>
      </c>
      <c r="C114" s="1" t="str">
        <f>MID(LEFT(Table1[[#This Row],[Item]], FIND("{token}", SUBSTITUTE(Table1[[#This Row],[Item]], "-", "{token}", 2)) - 1), FIND("-", Table1[[#This Row],[Item]]) + 1, LEN(Table1[[#This Row],[Item]]))</f>
        <v>C</v>
      </c>
      <c r="D114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11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14" s="1" cm="1">
        <f t="array" ref="F114">VALUE(INDEX(_xlfn.TEXTSPLIT(Table1[[#This Row],[Item]], "-"), 5))</f>
        <v>2</v>
      </c>
      <c r="G114" s="1" cm="1">
        <f t="array" ref="G114">VALUE(INDEX(_xlfn.TEXTSPLIT(Table1[[#This Row],[Item]], "-"), 6))</f>
        <v>2</v>
      </c>
      <c r="H114" s="1" cm="1">
        <f t="array" ref="H114">VALUE(INDEX(_xlfn.TEXTSPLIT(Table1[[#This Row],[Item]], "-"), 7))</f>
        <v>0</v>
      </c>
      <c r="I11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14" s="1" t="str">
        <f>LEFT(RIGHT(Table1[[#This Row],[Item]],6),1)</f>
        <v>N</v>
      </c>
      <c r="K114" s="1" t="str">
        <f t="shared" si="1"/>
        <v>N</v>
      </c>
      <c r="L114" s="1" t="str">
        <f>RIGHT(Table1[[#This Row],[Item]],2)</f>
        <v>CA</v>
      </c>
      <c r="M114" s="1" t="s">
        <v>33</v>
      </c>
      <c r="N114" s="3" t="s">
        <v>130</v>
      </c>
      <c r="O114" s="1">
        <v>15</v>
      </c>
    </row>
    <row r="115" spans="1:15">
      <c r="A115" t="s">
        <v>131</v>
      </c>
      <c r="B115" s="1" t="str">
        <f>LEFT(Table1[[#This Row],[Item]], FIND("-", Table1[[#This Row],[Item]]) - 1)</f>
        <v>GX12</v>
      </c>
      <c r="C115" s="1" t="str">
        <f>MID(LEFT(Table1[[#This Row],[Item]], FIND("{token}", SUBSTITUTE(Table1[[#This Row],[Item]], "-", "{token}", 2)) - 1), FIND("-", Table1[[#This Row],[Item]]) + 1, LEN(Table1[[#This Row],[Item]]))</f>
        <v>C</v>
      </c>
      <c r="D11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1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15" s="1" cm="1">
        <f t="array" ref="F115">VALUE(INDEX(_xlfn.TEXTSPLIT(Table1[[#This Row],[Item]], "-"), 5))</f>
        <v>2</v>
      </c>
      <c r="G115" s="1" cm="1">
        <f t="array" ref="G115">VALUE(INDEX(_xlfn.TEXTSPLIT(Table1[[#This Row],[Item]], "-"), 6))</f>
        <v>2</v>
      </c>
      <c r="H115" s="1" cm="1">
        <f t="array" ref="H115">VALUE(INDEX(_xlfn.TEXTSPLIT(Table1[[#This Row],[Item]], "-"), 7))</f>
        <v>0</v>
      </c>
      <c r="I11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15" s="1" t="str">
        <f>LEFT(RIGHT(Table1[[#This Row],[Item]],6),1)</f>
        <v>N</v>
      </c>
      <c r="K115" s="1" t="str">
        <f t="shared" si="1"/>
        <v>N</v>
      </c>
      <c r="L115" s="1" t="str">
        <f>RIGHT(Table1[[#This Row],[Item]],2)</f>
        <v>CA</v>
      </c>
      <c r="M115" s="1" t="s">
        <v>33</v>
      </c>
      <c r="N115" s="3" t="s">
        <v>131</v>
      </c>
      <c r="O115" s="1"/>
    </row>
    <row r="116" spans="1:15">
      <c r="A116" t="s">
        <v>132</v>
      </c>
      <c r="B116" s="1" t="str">
        <f>LEFT(Table1[[#This Row],[Item]], FIND("-", Table1[[#This Row],[Item]]) - 1)</f>
        <v>GX12</v>
      </c>
      <c r="C116" s="1" t="str">
        <f>MID(LEFT(Table1[[#This Row],[Item]], FIND("{token}", SUBSTITUTE(Table1[[#This Row],[Item]], "-", "{token}", 2)) - 1), FIND("-", Table1[[#This Row],[Item]]) + 1, LEN(Table1[[#This Row],[Item]]))</f>
        <v>D</v>
      </c>
      <c r="D116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1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16" s="1" cm="1">
        <f t="array" ref="F116">VALUE(INDEX(_xlfn.TEXTSPLIT(Table1[[#This Row],[Item]], "-"), 5))</f>
        <v>1</v>
      </c>
      <c r="G116" s="1" cm="1">
        <f t="array" ref="G116">VALUE(INDEX(_xlfn.TEXTSPLIT(Table1[[#This Row],[Item]], "-"), 6))</f>
        <v>1</v>
      </c>
      <c r="H116" s="1" cm="1">
        <f t="array" ref="H116">VALUE(INDEX(_xlfn.TEXTSPLIT(Table1[[#This Row],[Item]], "-"), 7))</f>
        <v>1</v>
      </c>
      <c r="I11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16" s="1" t="str">
        <f>LEFT(RIGHT(Table1[[#This Row],[Item]],6),1)</f>
        <v>N</v>
      </c>
      <c r="K116" s="1" t="str">
        <f t="shared" si="1"/>
        <v>N</v>
      </c>
      <c r="L116" s="1" t="str">
        <f>RIGHT(Table1[[#This Row],[Item]],2)</f>
        <v>CA</v>
      </c>
      <c r="M116" s="1" t="s">
        <v>33</v>
      </c>
      <c r="N116" s="3" t="s">
        <v>132</v>
      </c>
      <c r="O116" s="1"/>
    </row>
    <row r="117" spans="1:15">
      <c r="A117" t="s">
        <v>133</v>
      </c>
      <c r="B117" s="1" t="str">
        <f>LEFT(Table1[[#This Row],[Item]], FIND("-", Table1[[#This Row],[Item]]) - 1)</f>
        <v>GX12</v>
      </c>
      <c r="C117" s="1" t="str">
        <f>MID(LEFT(Table1[[#This Row],[Item]], FIND("{token}", SUBSTITUTE(Table1[[#This Row],[Item]], "-", "{token}", 2)) - 1), FIND("-", Table1[[#This Row],[Item]]) + 1, LEN(Table1[[#This Row],[Item]]))</f>
        <v>D</v>
      </c>
      <c r="D11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1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17" s="1" cm="1">
        <f t="array" ref="F117">VALUE(INDEX(_xlfn.TEXTSPLIT(Table1[[#This Row],[Item]], "-"), 5))</f>
        <v>0</v>
      </c>
      <c r="G117" s="1" cm="1">
        <f t="array" ref="G117">VALUE(INDEX(_xlfn.TEXTSPLIT(Table1[[#This Row],[Item]], "-"), 6))</f>
        <v>2</v>
      </c>
      <c r="H117" s="1" cm="1">
        <f t="array" ref="H117">VALUE(INDEX(_xlfn.TEXTSPLIT(Table1[[#This Row],[Item]], "-"), 7))</f>
        <v>0</v>
      </c>
      <c r="I11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17" s="1" t="str">
        <f>LEFT(RIGHT(Table1[[#This Row],[Item]],6),1)</f>
        <v>N</v>
      </c>
      <c r="K117" s="1" t="str">
        <f t="shared" si="1"/>
        <v>N</v>
      </c>
      <c r="L117" s="1" t="str">
        <f>RIGHT(Table1[[#This Row],[Item]],2)</f>
        <v>CA</v>
      </c>
      <c r="M117" s="1" t="s">
        <v>33</v>
      </c>
      <c r="N117" s="3" t="s">
        <v>133</v>
      </c>
      <c r="O117" s="1"/>
    </row>
    <row r="118" spans="1:15">
      <c r="A118" t="s">
        <v>134</v>
      </c>
      <c r="B118" s="1" t="str">
        <f>LEFT(Table1[[#This Row],[Item]], FIND("-", Table1[[#This Row],[Item]]) - 1)</f>
        <v>GX12</v>
      </c>
      <c r="C118" s="1" t="str">
        <f>MID(LEFT(Table1[[#This Row],[Item]], FIND("{token}", SUBSTITUTE(Table1[[#This Row],[Item]], "-", "{token}", 2)) - 1), FIND("-", Table1[[#This Row],[Item]]) + 1, LEN(Table1[[#This Row],[Item]]))</f>
        <v>D</v>
      </c>
      <c r="D11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1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18" s="1" cm="1">
        <f t="array" ref="F118">VALUE(INDEX(_xlfn.TEXTSPLIT(Table1[[#This Row],[Item]], "-"), 5))</f>
        <v>1</v>
      </c>
      <c r="G118" s="1" cm="1">
        <f t="array" ref="G118">VALUE(INDEX(_xlfn.TEXTSPLIT(Table1[[#This Row],[Item]], "-"), 6))</f>
        <v>2</v>
      </c>
      <c r="H118" s="1" cm="1">
        <f t="array" ref="H118">VALUE(INDEX(_xlfn.TEXTSPLIT(Table1[[#This Row],[Item]], "-"), 7))</f>
        <v>0</v>
      </c>
      <c r="I11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18" s="1" t="str">
        <f>LEFT(RIGHT(Table1[[#This Row],[Item]],6),1)</f>
        <v>N</v>
      </c>
      <c r="K118" s="1" t="str">
        <f t="shared" si="1"/>
        <v>N</v>
      </c>
      <c r="L118" s="1" t="str">
        <f>RIGHT(Table1[[#This Row],[Item]],2)</f>
        <v>CA</v>
      </c>
      <c r="M118" s="1" t="s">
        <v>16</v>
      </c>
      <c r="N118" s="3" t="s">
        <v>134</v>
      </c>
      <c r="O118" s="1"/>
    </row>
    <row r="119" spans="1:15">
      <c r="A119" t="s">
        <v>135</v>
      </c>
      <c r="B119" s="1" t="str">
        <f>LEFT(Table1[[#This Row],[Item]], FIND("-", Table1[[#This Row],[Item]]) - 1)</f>
        <v>GX12</v>
      </c>
      <c r="C119" s="1" t="str">
        <f>MID(LEFT(Table1[[#This Row],[Item]], FIND("{token}", SUBSTITUTE(Table1[[#This Row],[Item]], "-", "{token}", 2)) - 1), FIND("-", Table1[[#This Row],[Item]]) + 1, LEN(Table1[[#This Row],[Item]]))</f>
        <v>D</v>
      </c>
      <c r="D11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1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19" s="1" cm="1">
        <f t="array" ref="F119">VALUE(INDEX(_xlfn.TEXTSPLIT(Table1[[#This Row],[Item]], "-"), 5))</f>
        <v>0</v>
      </c>
      <c r="G119" s="1" cm="1">
        <f t="array" ref="G119">VALUE(INDEX(_xlfn.TEXTSPLIT(Table1[[#This Row],[Item]], "-"), 6))</f>
        <v>0</v>
      </c>
      <c r="H119" s="1" cm="1">
        <f t="array" ref="H119">VALUE(INDEX(_xlfn.TEXTSPLIT(Table1[[#This Row],[Item]], "-"), 7))</f>
        <v>0</v>
      </c>
      <c r="I11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19" s="1" t="str">
        <f>LEFT(RIGHT(Table1[[#This Row],[Item]],6),1)</f>
        <v>N</v>
      </c>
      <c r="K119" s="1" t="str">
        <f t="shared" si="1"/>
        <v>N</v>
      </c>
      <c r="L119" s="1" t="str">
        <f>RIGHT(Table1[[#This Row],[Item]],2)</f>
        <v>CA</v>
      </c>
      <c r="M119" s="1" t="s">
        <v>33</v>
      </c>
      <c r="N119" s="3" t="s">
        <v>135</v>
      </c>
      <c r="O119" s="1"/>
    </row>
    <row r="120" spans="1:15">
      <c r="A120" t="s">
        <v>136</v>
      </c>
      <c r="B120" s="1" t="str">
        <f>LEFT(Table1[[#This Row],[Item]], FIND("-", Table1[[#This Row],[Item]]) - 1)</f>
        <v>GX12</v>
      </c>
      <c r="C120" s="1" t="str">
        <f>MID(LEFT(Table1[[#This Row],[Item]], FIND("{token}", SUBSTITUTE(Table1[[#This Row],[Item]], "-", "{token}", 2)) - 1), FIND("-", Table1[[#This Row],[Item]]) + 1, LEN(Table1[[#This Row],[Item]]))</f>
        <v>D</v>
      </c>
      <c r="D12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2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20" s="1" cm="1">
        <f t="array" ref="F120">VALUE(INDEX(_xlfn.TEXTSPLIT(Table1[[#This Row],[Item]], "-"), 5))</f>
        <v>1</v>
      </c>
      <c r="G120" s="1" cm="1">
        <f t="array" ref="G120">VALUE(INDEX(_xlfn.TEXTSPLIT(Table1[[#This Row],[Item]], "-"), 6))</f>
        <v>2</v>
      </c>
      <c r="H120" s="1" cm="1">
        <f t="array" ref="H120">VALUE(INDEX(_xlfn.TEXTSPLIT(Table1[[#This Row],[Item]], "-"), 7))</f>
        <v>0</v>
      </c>
      <c r="I12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20" s="1" t="str">
        <f>LEFT(RIGHT(Table1[[#This Row],[Item]],6),1)</f>
        <v>N</v>
      </c>
      <c r="K120" s="1" t="str">
        <f t="shared" si="1"/>
        <v>N</v>
      </c>
      <c r="L120" s="1" t="str">
        <f>RIGHT(Table1[[#This Row],[Item]],2)</f>
        <v>CA</v>
      </c>
      <c r="M120" s="1" t="s">
        <v>33</v>
      </c>
      <c r="N120" s="3" t="s">
        <v>136</v>
      </c>
      <c r="O120" s="1"/>
    </row>
    <row r="121" spans="1:15">
      <c r="A121" t="s">
        <v>137</v>
      </c>
      <c r="B121" s="1" t="str">
        <f>LEFT(Table1[[#This Row],[Item]], FIND("-", Table1[[#This Row],[Item]]) - 1)</f>
        <v>GX12</v>
      </c>
      <c r="C121" s="1" t="str">
        <f>MID(LEFT(Table1[[#This Row],[Item]], FIND("{token}", SUBSTITUTE(Table1[[#This Row],[Item]], "-", "{token}", 2)) - 1), FIND("-", Table1[[#This Row],[Item]]) + 1, LEN(Table1[[#This Row],[Item]]))</f>
        <v>D</v>
      </c>
      <c r="D121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12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21" s="1" cm="1">
        <f t="array" ref="F121">VALUE(INDEX(_xlfn.TEXTSPLIT(Table1[[#This Row],[Item]], "-"), 5))</f>
        <v>1</v>
      </c>
      <c r="G121" s="1" cm="1">
        <f t="array" ref="G121">VALUE(INDEX(_xlfn.TEXTSPLIT(Table1[[#This Row],[Item]], "-"), 6))</f>
        <v>2</v>
      </c>
      <c r="H121" s="1" cm="1">
        <f t="array" ref="H121">VALUE(INDEX(_xlfn.TEXTSPLIT(Table1[[#This Row],[Item]], "-"), 7))</f>
        <v>0</v>
      </c>
      <c r="I12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21" s="1" t="str">
        <f>LEFT(RIGHT(Table1[[#This Row],[Item]],6),1)</f>
        <v>N</v>
      </c>
      <c r="K121" s="1" t="str">
        <f t="shared" si="1"/>
        <v>N</v>
      </c>
      <c r="L121" s="1" t="str">
        <f>RIGHT(Table1[[#This Row],[Item]],2)</f>
        <v>CA</v>
      </c>
      <c r="M121" s="1" t="s">
        <v>33</v>
      </c>
      <c r="N121" s="3" t="s">
        <v>137</v>
      </c>
      <c r="O121" s="1"/>
    </row>
    <row r="122" spans="1:15">
      <c r="A122" t="s">
        <v>138</v>
      </c>
      <c r="B122" s="1" t="str">
        <f>LEFT(Table1[[#This Row],[Item]], FIND("-", Table1[[#This Row],[Item]]) - 1)</f>
        <v>GX12</v>
      </c>
      <c r="C122" s="1" t="str">
        <f>MID(LEFT(Table1[[#This Row],[Item]], FIND("{token}", SUBSTITUTE(Table1[[#This Row],[Item]], "-", "{token}", 2)) - 1), FIND("-", Table1[[#This Row],[Item]]) + 1, LEN(Table1[[#This Row],[Item]]))</f>
        <v>DXL</v>
      </c>
      <c r="D12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2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22" s="1" cm="1">
        <f t="array" ref="F122">VALUE(INDEX(_xlfn.TEXTSPLIT(Table1[[#This Row],[Item]], "-"), 5))</f>
        <v>1</v>
      </c>
      <c r="G122" s="1" cm="1">
        <f t="array" ref="G122">VALUE(INDEX(_xlfn.TEXTSPLIT(Table1[[#This Row],[Item]], "-"), 6))</f>
        <v>1</v>
      </c>
      <c r="H122" s="1" cm="1">
        <f t="array" ref="H122">VALUE(INDEX(_xlfn.TEXTSPLIT(Table1[[#This Row],[Item]], "-"), 7))</f>
        <v>1</v>
      </c>
      <c r="I12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22" s="1" t="str">
        <f>LEFT(RIGHT(Table1[[#This Row],[Item]],6),1)</f>
        <v>N</v>
      </c>
      <c r="K122" s="1" t="str">
        <f t="shared" si="1"/>
        <v>N</v>
      </c>
      <c r="L122" s="1" t="str">
        <f>RIGHT(Table1[[#This Row],[Item]],2)</f>
        <v>CA</v>
      </c>
      <c r="M122" s="1" t="s">
        <v>33</v>
      </c>
      <c r="N122" s="3" t="s">
        <v>138</v>
      </c>
      <c r="O122" s="1"/>
    </row>
    <row r="123" spans="1:15">
      <c r="A123" t="s">
        <v>139</v>
      </c>
      <c r="B123" s="1" t="str">
        <f>LEFT(Table1[[#This Row],[Item]], FIND("-", Table1[[#This Row],[Item]]) - 1)</f>
        <v>GX12</v>
      </c>
      <c r="C123" s="1" t="str">
        <f>MID(LEFT(Table1[[#This Row],[Item]], FIND("{token}", SUBSTITUTE(Table1[[#This Row],[Item]], "-", "{token}", 2)) - 1), FIND("-", Table1[[#This Row],[Item]]) + 1, LEN(Table1[[#This Row],[Item]]))</f>
        <v>DXL</v>
      </c>
      <c r="D12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2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23" s="1" cm="1">
        <f t="array" ref="F123">VALUE(INDEX(_xlfn.TEXTSPLIT(Table1[[#This Row],[Item]], "-"), 5))</f>
        <v>1</v>
      </c>
      <c r="G123" s="1" cm="1">
        <f t="array" ref="G123">VALUE(INDEX(_xlfn.TEXTSPLIT(Table1[[#This Row],[Item]], "-"), 6))</f>
        <v>2</v>
      </c>
      <c r="H123" s="1" cm="1">
        <f t="array" ref="H123">VALUE(INDEX(_xlfn.TEXTSPLIT(Table1[[#This Row],[Item]], "-"), 7))</f>
        <v>0</v>
      </c>
      <c r="I12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23" s="1" t="str">
        <f>LEFT(RIGHT(Table1[[#This Row],[Item]],6),1)</f>
        <v>N</v>
      </c>
      <c r="K123" s="1" t="str">
        <f t="shared" si="1"/>
        <v>N</v>
      </c>
      <c r="L123" s="1" t="str">
        <f>RIGHT(Table1[[#This Row],[Item]],2)</f>
        <v>CA</v>
      </c>
      <c r="M123" s="1" t="s">
        <v>33</v>
      </c>
      <c r="N123" s="3" t="s">
        <v>139</v>
      </c>
      <c r="O123" s="1"/>
    </row>
    <row r="124" spans="1:15">
      <c r="A124" t="s">
        <v>140</v>
      </c>
      <c r="B124" s="1" t="str">
        <f>LEFT(Table1[[#This Row],[Item]], FIND("-", Table1[[#This Row],[Item]]) - 1)</f>
        <v>GX12</v>
      </c>
      <c r="C124" s="1" t="str">
        <f>MID(LEFT(Table1[[#This Row],[Item]], FIND("{token}", SUBSTITUTE(Table1[[#This Row],[Item]], "-", "{token}", 2)) - 1), FIND("-", Table1[[#This Row],[Item]]) + 1, LEN(Table1[[#This Row],[Item]]))</f>
        <v>L</v>
      </c>
      <c r="D12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2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24" s="1" cm="1">
        <f t="array" ref="F124">VALUE(INDEX(_xlfn.TEXTSPLIT(Table1[[#This Row],[Item]], "-"), 5))</f>
        <v>2</v>
      </c>
      <c r="G124" s="1" cm="1">
        <f t="array" ref="G124">VALUE(INDEX(_xlfn.TEXTSPLIT(Table1[[#This Row],[Item]], "-"), 6))</f>
        <v>0</v>
      </c>
      <c r="H124" s="1" cm="1">
        <f t="array" ref="H124">VALUE(INDEX(_xlfn.TEXTSPLIT(Table1[[#This Row],[Item]], "-"), 7))</f>
        <v>0</v>
      </c>
      <c r="I12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24" s="1" t="str">
        <f>LEFT(RIGHT(Table1[[#This Row],[Item]],6),1)</f>
        <v>N</v>
      </c>
      <c r="K124" s="1" t="str">
        <f t="shared" si="1"/>
        <v>N</v>
      </c>
      <c r="L124" s="1" t="str">
        <f>RIGHT(Table1[[#This Row],[Item]],2)</f>
        <v>CA</v>
      </c>
      <c r="M124" s="1" t="s">
        <v>33</v>
      </c>
      <c r="N124" s="3" t="s">
        <v>140</v>
      </c>
      <c r="O124" s="1"/>
    </row>
    <row r="125" spans="1:15">
      <c r="A125" t="s">
        <v>141</v>
      </c>
      <c r="B125" s="1" t="str">
        <f>LEFT(Table1[[#This Row],[Item]], FIND("-", Table1[[#This Row],[Item]]) - 1)</f>
        <v>GX14</v>
      </c>
      <c r="C125" s="1" t="str">
        <f>MID(LEFT(Table1[[#This Row],[Item]], FIND("{token}", SUBSTITUTE(Table1[[#This Row],[Item]], "-", "{token}", 2)) - 1), FIND("-", Table1[[#This Row],[Item]]) + 1, LEN(Table1[[#This Row],[Item]]))</f>
        <v>C</v>
      </c>
      <c r="D125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12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25" s="1" cm="1">
        <f t="array" ref="F125">VALUE(INDEX(_xlfn.TEXTSPLIT(Table1[[#This Row],[Item]], "-"), 5))</f>
        <v>2</v>
      </c>
      <c r="G125" s="1" cm="1">
        <f t="array" ref="G125">VALUE(INDEX(_xlfn.TEXTSPLIT(Table1[[#This Row],[Item]], "-"), 6))</f>
        <v>2</v>
      </c>
      <c r="H125" s="1" cm="1">
        <f t="array" ref="H125">VALUE(INDEX(_xlfn.TEXTSPLIT(Table1[[#This Row],[Item]], "-"), 7))</f>
        <v>0</v>
      </c>
      <c r="I12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25" s="1" t="str">
        <f>LEFT(RIGHT(Table1[[#This Row],[Item]],6),1)</f>
        <v>N</v>
      </c>
      <c r="K125" s="1" t="str">
        <f t="shared" si="1"/>
        <v>N</v>
      </c>
      <c r="L125" s="1" t="str">
        <f>RIGHT(Table1[[#This Row],[Item]],2)</f>
        <v>CA</v>
      </c>
      <c r="M125" s="1" t="s">
        <v>16</v>
      </c>
      <c r="N125" s="3" t="s">
        <v>141</v>
      </c>
      <c r="O125" s="1"/>
    </row>
    <row r="126" spans="1:15">
      <c r="A126" t="s">
        <v>142</v>
      </c>
      <c r="B126" s="1" t="str">
        <f>LEFT(Table1[[#This Row],[Item]], FIND("-", Table1[[#This Row],[Item]]) - 1)</f>
        <v>GX14</v>
      </c>
      <c r="C126" s="1" t="str">
        <f>MID(LEFT(Table1[[#This Row],[Item]], FIND("{token}", SUBSTITUTE(Table1[[#This Row],[Item]], "-", "{token}", 2)) - 1), FIND("-", Table1[[#This Row],[Item]]) + 1, LEN(Table1[[#This Row],[Item]]))</f>
        <v>C</v>
      </c>
      <c r="D126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12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26" s="1" cm="1">
        <f t="array" ref="F126">VALUE(INDEX(_xlfn.TEXTSPLIT(Table1[[#This Row],[Item]], "-"), 5))</f>
        <v>0</v>
      </c>
      <c r="G126" s="1" cm="1">
        <f t="array" ref="G126">VALUE(INDEX(_xlfn.TEXTSPLIT(Table1[[#This Row],[Item]], "-"), 6))</f>
        <v>2</v>
      </c>
      <c r="H126" s="1" cm="1">
        <f t="array" ref="H126">VALUE(INDEX(_xlfn.TEXTSPLIT(Table1[[#This Row],[Item]], "-"), 7))</f>
        <v>0</v>
      </c>
      <c r="I12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26" s="1" t="str">
        <f>LEFT(RIGHT(Table1[[#This Row],[Item]],6),1)</f>
        <v>N</v>
      </c>
      <c r="K126" s="1" t="str">
        <f t="shared" si="1"/>
        <v>N</v>
      </c>
      <c r="L126" s="1" t="str">
        <f>RIGHT(Table1[[#This Row],[Item]],2)</f>
        <v>CA</v>
      </c>
      <c r="M126" s="1" t="s">
        <v>33</v>
      </c>
      <c r="N126" s="3" t="s">
        <v>142</v>
      </c>
      <c r="O126" s="1"/>
    </row>
    <row r="127" spans="1:15">
      <c r="A127" t="s">
        <v>143</v>
      </c>
      <c r="B127" s="1" t="str">
        <f>LEFT(Table1[[#This Row],[Item]], FIND("-", Table1[[#This Row],[Item]]) - 1)</f>
        <v>GX14</v>
      </c>
      <c r="C127" s="1" t="str">
        <f>MID(LEFT(Table1[[#This Row],[Item]], FIND("{token}", SUBSTITUTE(Table1[[#This Row],[Item]], "-", "{token}", 2)) - 1), FIND("-", Table1[[#This Row],[Item]]) + 1, LEN(Table1[[#This Row],[Item]]))</f>
        <v>CXL</v>
      </c>
      <c r="D127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12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27" s="1" cm="1">
        <f t="array" ref="F127">VALUE(INDEX(_xlfn.TEXTSPLIT(Table1[[#This Row],[Item]], "-"), 5))</f>
        <v>2</v>
      </c>
      <c r="G127" s="1" cm="1">
        <f t="array" ref="G127">VALUE(INDEX(_xlfn.TEXTSPLIT(Table1[[#This Row],[Item]], "-"), 6))</f>
        <v>2</v>
      </c>
      <c r="H127" s="1" cm="1">
        <f t="array" ref="H127">VALUE(INDEX(_xlfn.TEXTSPLIT(Table1[[#This Row],[Item]], "-"), 7))</f>
        <v>0</v>
      </c>
      <c r="I12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27" s="1" t="str">
        <f>LEFT(RIGHT(Table1[[#This Row],[Item]],6),1)</f>
        <v>N</v>
      </c>
      <c r="K127" s="1" t="str">
        <f t="shared" si="1"/>
        <v>N</v>
      </c>
      <c r="L127" s="1" t="str">
        <f>RIGHT(Table1[[#This Row],[Item]],2)</f>
        <v>CA</v>
      </c>
      <c r="M127" s="1" t="s">
        <v>33</v>
      </c>
      <c r="N127" s="3" t="s">
        <v>143</v>
      </c>
      <c r="O127" s="1"/>
    </row>
    <row r="128" spans="1:15">
      <c r="A128" t="s">
        <v>144</v>
      </c>
      <c r="B128" s="1" t="str">
        <f>LEFT(Table1[[#This Row],[Item]], FIND("-", Table1[[#This Row],[Item]]) - 1)</f>
        <v>GX14</v>
      </c>
      <c r="C128" s="1" t="str">
        <f>MID(LEFT(Table1[[#This Row],[Item]], FIND("{token}", SUBSTITUTE(Table1[[#This Row],[Item]], "-", "{token}", 2)) - 1), FIND("-", Table1[[#This Row],[Item]]) + 1, LEN(Table1[[#This Row],[Item]]))</f>
        <v>CXL</v>
      </c>
      <c r="D12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2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28" s="1" cm="1">
        <f t="array" ref="F128">VALUE(INDEX(_xlfn.TEXTSPLIT(Table1[[#This Row],[Item]], "-"), 5))</f>
        <v>1</v>
      </c>
      <c r="G128" s="1" cm="1">
        <f t="array" ref="G128">VALUE(INDEX(_xlfn.TEXTSPLIT(Table1[[#This Row],[Item]], "-"), 6))</f>
        <v>2</v>
      </c>
      <c r="H128" s="1" cm="1">
        <f t="array" ref="H128">VALUE(INDEX(_xlfn.TEXTSPLIT(Table1[[#This Row],[Item]], "-"), 7))</f>
        <v>0</v>
      </c>
      <c r="I12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28" s="1" t="str">
        <f>LEFT(RIGHT(Table1[[#This Row],[Item]],6),1)</f>
        <v>N</v>
      </c>
      <c r="K128" s="1" t="str">
        <f t="shared" si="1"/>
        <v>N</v>
      </c>
      <c r="L128" s="1" t="str">
        <f>RIGHT(Table1[[#This Row],[Item]],2)</f>
        <v>CA</v>
      </c>
      <c r="M128" s="1" t="s">
        <v>33</v>
      </c>
      <c r="N128" s="3" t="s">
        <v>144</v>
      </c>
      <c r="O128" s="1"/>
    </row>
    <row r="129" spans="1:15">
      <c r="A129" t="s">
        <v>145</v>
      </c>
      <c r="B129" s="1" t="str">
        <f>LEFT(Table1[[#This Row],[Item]], FIND("-", Table1[[#This Row],[Item]]) - 1)</f>
        <v>GX14</v>
      </c>
      <c r="C129" s="1" t="str">
        <f>MID(LEFT(Table1[[#This Row],[Item]], FIND("{token}", SUBSTITUTE(Table1[[#This Row],[Item]], "-", "{token}", 2)) - 1), FIND("-", Table1[[#This Row],[Item]]) + 1, LEN(Table1[[#This Row],[Item]]))</f>
        <v>D</v>
      </c>
      <c r="D12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2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29" s="1" cm="1">
        <f t="array" ref="F129">VALUE(INDEX(_xlfn.TEXTSPLIT(Table1[[#This Row],[Item]], "-"), 5))</f>
        <v>2</v>
      </c>
      <c r="G129" s="1" cm="1">
        <f t="array" ref="G129">VALUE(INDEX(_xlfn.TEXTSPLIT(Table1[[#This Row],[Item]], "-"), 6))</f>
        <v>0</v>
      </c>
      <c r="H129" s="1" cm="1">
        <f t="array" ref="H129">VALUE(INDEX(_xlfn.TEXTSPLIT(Table1[[#This Row],[Item]], "-"), 7))</f>
        <v>2</v>
      </c>
      <c r="I12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29" s="1" t="str">
        <f>LEFT(RIGHT(Table1[[#This Row],[Item]],6),1)</f>
        <v>N</v>
      </c>
      <c r="K129" s="1" t="str">
        <f t="shared" si="1"/>
        <v>N</v>
      </c>
      <c r="L129" s="1" t="str">
        <f>RIGHT(Table1[[#This Row],[Item]],2)</f>
        <v>CA</v>
      </c>
      <c r="M129" s="1" t="s">
        <v>33</v>
      </c>
      <c r="N129" s="3" t="s">
        <v>145</v>
      </c>
      <c r="O129" s="1"/>
    </row>
    <row r="130" spans="1:15">
      <c r="A130" t="s">
        <v>146</v>
      </c>
      <c r="B130" s="1" t="str">
        <f>LEFT(Table1[[#This Row],[Item]], FIND("-", Table1[[#This Row],[Item]]) - 1)</f>
        <v>GX14</v>
      </c>
      <c r="C130" s="1" t="str">
        <f>MID(LEFT(Table1[[#This Row],[Item]], FIND("{token}", SUBSTITUTE(Table1[[#This Row],[Item]], "-", "{token}", 2)) - 1), FIND("-", Table1[[#This Row],[Item]]) + 1, LEN(Table1[[#This Row],[Item]]))</f>
        <v>D</v>
      </c>
      <c r="D13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3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30" s="1" cm="1">
        <f t="array" ref="F130">VALUE(INDEX(_xlfn.TEXTSPLIT(Table1[[#This Row],[Item]], "-"), 5))</f>
        <v>1</v>
      </c>
      <c r="G130" s="1" cm="1">
        <f t="array" ref="G130">VALUE(INDEX(_xlfn.TEXTSPLIT(Table1[[#This Row],[Item]], "-"), 6))</f>
        <v>2</v>
      </c>
      <c r="H130" s="1" cm="1">
        <f t="array" ref="H130">VALUE(INDEX(_xlfn.TEXTSPLIT(Table1[[#This Row],[Item]], "-"), 7))</f>
        <v>0</v>
      </c>
      <c r="I13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30" s="1" t="str">
        <f>LEFT(RIGHT(Table1[[#This Row],[Item]],6),1)</f>
        <v>N</v>
      </c>
      <c r="K130" s="1" t="str">
        <f t="shared" ref="K130:K193" si="2">MID(A130, LEN(A130)-3, 1)</f>
        <v>N</v>
      </c>
      <c r="L130" s="1" t="str">
        <f>RIGHT(Table1[[#This Row],[Item]],2)</f>
        <v>CA</v>
      </c>
      <c r="M130" s="1" t="s">
        <v>33</v>
      </c>
      <c r="N130" s="3" t="s">
        <v>146</v>
      </c>
      <c r="O130" s="1"/>
    </row>
    <row r="131" spans="1:15">
      <c r="A131" t="s">
        <v>147</v>
      </c>
      <c r="B131" s="1" t="str">
        <f>LEFT(Table1[[#This Row],[Item]], FIND("-", Table1[[#This Row],[Item]]) - 1)</f>
        <v>GX14</v>
      </c>
      <c r="C131" s="1" t="str">
        <f>MID(LEFT(Table1[[#This Row],[Item]], FIND("{token}", SUBSTITUTE(Table1[[#This Row],[Item]], "-", "{token}", 2)) - 1), FIND("-", Table1[[#This Row],[Item]]) + 1, LEN(Table1[[#This Row],[Item]]))</f>
        <v>D</v>
      </c>
      <c r="D13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3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31" s="1" cm="1">
        <f t="array" ref="F131">VALUE(INDEX(_xlfn.TEXTSPLIT(Table1[[#This Row],[Item]], "-"), 5))</f>
        <v>2</v>
      </c>
      <c r="G131" s="1" cm="1">
        <f t="array" ref="G131">VALUE(INDEX(_xlfn.TEXTSPLIT(Table1[[#This Row],[Item]], "-"), 6))</f>
        <v>2</v>
      </c>
      <c r="H131" s="1" cm="1">
        <f t="array" ref="H131">VALUE(INDEX(_xlfn.TEXTSPLIT(Table1[[#This Row],[Item]], "-"), 7))</f>
        <v>0</v>
      </c>
      <c r="I13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31" s="1" t="str">
        <f>LEFT(RIGHT(Table1[[#This Row],[Item]],6),1)</f>
        <v>N</v>
      </c>
      <c r="K131" s="1" t="str">
        <f t="shared" si="2"/>
        <v>N</v>
      </c>
      <c r="L131" s="1" t="str">
        <f>RIGHT(Table1[[#This Row],[Item]],2)</f>
        <v>CA</v>
      </c>
      <c r="M131" s="1" t="s">
        <v>16</v>
      </c>
      <c r="N131" s="3" t="s">
        <v>147</v>
      </c>
      <c r="O131" s="1"/>
    </row>
    <row r="132" spans="1:15">
      <c r="A132" t="s">
        <v>148</v>
      </c>
      <c r="B132" s="1" t="str">
        <f>LEFT(Table1[[#This Row],[Item]], FIND("-", Table1[[#This Row],[Item]]) - 1)</f>
        <v>GX14</v>
      </c>
      <c r="C132" s="1" t="str">
        <f>MID(LEFT(Table1[[#This Row],[Item]], FIND("{token}", SUBSTITUTE(Table1[[#This Row],[Item]], "-", "{token}", 2)) - 1), FIND("-", Table1[[#This Row],[Item]]) + 1, LEN(Table1[[#This Row],[Item]]))</f>
        <v>D</v>
      </c>
      <c r="D132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13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32" s="1" cm="1">
        <f t="array" ref="F132">VALUE(INDEX(_xlfn.TEXTSPLIT(Table1[[#This Row],[Item]], "-"), 5))</f>
        <v>2</v>
      </c>
      <c r="G132" s="1" cm="1">
        <f t="array" ref="G132">VALUE(INDEX(_xlfn.TEXTSPLIT(Table1[[#This Row],[Item]], "-"), 6))</f>
        <v>2</v>
      </c>
      <c r="H132" s="1" cm="1">
        <f t="array" ref="H132">VALUE(INDEX(_xlfn.TEXTSPLIT(Table1[[#This Row],[Item]], "-"), 7))</f>
        <v>0</v>
      </c>
      <c r="I13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32" s="1" t="str">
        <f>LEFT(RIGHT(Table1[[#This Row],[Item]],6),1)</f>
        <v>N</v>
      </c>
      <c r="K132" s="1" t="str">
        <f t="shared" si="2"/>
        <v>N</v>
      </c>
      <c r="L132" s="1" t="str">
        <f>RIGHT(Table1[[#This Row],[Item]],2)</f>
        <v>CA</v>
      </c>
      <c r="M132" s="1" t="s">
        <v>33</v>
      </c>
      <c r="N132" s="3" t="s">
        <v>148</v>
      </c>
      <c r="O132" s="1"/>
    </row>
    <row r="133" spans="1:15">
      <c r="A133" t="s">
        <v>149</v>
      </c>
      <c r="B133" s="1" t="str">
        <f>LEFT(Table1[[#This Row],[Item]], FIND("-", Table1[[#This Row],[Item]]) - 1)</f>
        <v>GX14</v>
      </c>
      <c r="C133" s="1" t="str">
        <f>MID(LEFT(Table1[[#This Row],[Item]], FIND("{token}", SUBSTITUTE(Table1[[#This Row],[Item]], "-", "{token}", 2)) - 1), FIND("-", Table1[[#This Row],[Item]]) + 1, LEN(Table1[[#This Row],[Item]]))</f>
        <v>DXL</v>
      </c>
      <c r="D13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3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33" s="1" cm="1">
        <f t="array" ref="F133">VALUE(INDEX(_xlfn.TEXTSPLIT(Table1[[#This Row],[Item]], "-"), 5))</f>
        <v>2</v>
      </c>
      <c r="G133" s="1" cm="1">
        <f t="array" ref="G133">VALUE(INDEX(_xlfn.TEXTSPLIT(Table1[[#This Row],[Item]], "-"), 6))</f>
        <v>2</v>
      </c>
      <c r="H133" s="1" cm="1">
        <f t="array" ref="H133">VALUE(INDEX(_xlfn.TEXTSPLIT(Table1[[#This Row],[Item]], "-"), 7))</f>
        <v>1</v>
      </c>
      <c r="I13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33" s="1" t="str">
        <f>LEFT(RIGHT(Table1[[#This Row],[Item]],6),1)</f>
        <v>N</v>
      </c>
      <c r="K133" s="1" t="str">
        <f t="shared" si="2"/>
        <v>N</v>
      </c>
      <c r="L133" s="1" t="str">
        <f>RIGHT(Table1[[#This Row],[Item]],2)</f>
        <v>CA</v>
      </c>
      <c r="M133" s="1" t="s">
        <v>33</v>
      </c>
      <c r="N133" s="3" t="s">
        <v>149</v>
      </c>
      <c r="O133" s="1"/>
    </row>
    <row r="134" spans="1:15">
      <c r="A134" t="s">
        <v>150</v>
      </c>
      <c r="B134" s="1" t="str">
        <f>LEFT(Table1[[#This Row],[Item]], FIND("-", Table1[[#This Row],[Item]]) - 1)</f>
        <v>GX14</v>
      </c>
      <c r="C134" s="1" t="str">
        <f>MID(LEFT(Table1[[#This Row],[Item]], FIND("{token}", SUBSTITUTE(Table1[[#This Row],[Item]], "-", "{token}", 2)) - 1), FIND("-", Table1[[#This Row],[Item]]) + 1, LEN(Table1[[#This Row],[Item]]))</f>
        <v>L</v>
      </c>
      <c r="D13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3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34" s="1" cm="1">
        <f t="array" ref="F134">VALUE(INDEX(_xlfn.TEXTSPLIT(Table1[[#This Row],[Item]], "-"), 5))</f>
        <v>1</v>
      </c>
      <c r="G134" s="1" cm="1">
        <f t="array" ref="G134">VALUE(INDEX(_xlfn.TEXTSPLIT(Table1[[#This Row],[Item]], "-"), 6))</f>
        <v>3</v>
      </c>
      <c r="H134" s="1" cm="1">
        <f t="array" ref="H134">VALUE(INDEX(_xlfn.TEXTSPLIT(Table1[[#This Row],[Item]], "-"), 7))</f>
        <v>0</v>
      </c>
      <c r="I13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34" s="1" t="str">
        <f>LEFT(RIGHT(Table1[[#This Row],[Item]],6),1)</f>
        <v>N</v>
      </c>
      <c r="K134" s="1" t="str">
        <f t="shared" si="2"/>
        <v>N</v>
      </c>
      <c r="L134" s="1" t="str">
        <f>RIGHT(Table1[[#This Row],[Item]],2)</f>
        <v>CA</v>
      </c>
      <c r="M134" s="1" t="s">
        <v>33</v>
      </c>
      <c r="N134" s="3" t="s">
        <v>150</v>
      </c>
      <c r="O134" s="1"/>
    </row>
    <row r="135" spans="1:15">
      <c r="A135" t="s">
        <v>151</v>
      </c>
      <c r="B135" s="1" t="str">
        <f>LEFT(Table1[[#This Row],[Item]], FIND("-", Table1[[#This Row],[Item]]) - 1)</f>
        <v>GX14</v>
      </c>
      <c r="C135" s="1" t="str">
        <f>MID(LEFT(Table1[[#This Row],[Item]], FIND("{token}", SUBSTITUTE(Table1[[#This Row],[Item]], "-", "{token}", 2)) - 1), FIND("-", Table1[[#This Row],[Item]]) + 1, LEN(Table1[[#This Row],[Item]]))</f>
        <v>RXL</v>
      </c>
      <c r="D13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3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35" s="1" cm="1">
        <f t="array" ref="F135">VALUE(INDEX(_xlfn.TEXTSPLIT(Table1[[#This Row],[Item]], "-"), 5))</f>
        <v>2</v>
      </c>
      <c r="G135" s="1" cm="1">
        <f t="array" ref="G135">VALUE(INDEX(_xlfn.TEXTSPLIT(Table1[[#This Row],[Item]], "-"), 6))</f>
        <v>1</v>
      </c>
      <c r="H135" s="1" cm="1">
        <f t="array" ref="H135">VALUE(INDEX(_xlfn.TEXTSPLIT(Table1[[#This Row],[Item]], "-"), 7))</f>
        <v>1</v>
      </c>
      <c r="I13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35" s="1" t="str">
        <f>LEFT(RIGHT(Table1[[#This Row],[Item]],6),1)</f>
        <v>N</v>
      </c>
      <c r="K135" s="1" t="str">
        <f t="shared" si="2"/>
        <v>N</v>
      </c>
      <c r="L135" s="1" t="str">
        <f>RIGHT(Table1[[#This Row],[Item]],2)</f>
        <v>CA</v>
      </c>
      <c r="M135" s="1" t="s">
        <v>33</v>
      </c>
      <c r="N135" s="3" t="s">
        <v>151</v>
      </c>
      <c r="O135" s="1"/>
    </row>
    <row r="136" spans="1:15">
      <c r="A136" t="s">
        <v>152</v>
      </c>
      <c r="B136" s="1" t="str">
        <f>LEFT(Table1[[#This Row],[Item]], FIND("-", Table1[[#This Row],[Item]]) - 1)</f>
        <v>MA08</v>
      </c>
      <c r="C136" s="1" t="str">
        <f>MID(LEFT(Table1[[#This Row],[Item]], FIND("{token}", SUBSTITUTE(Table1[[#This Row],[Item]], "-", "{token}", 2)) - 1), FIND("-", Table1[[#This Row],[Item]]) + 1, LEN(Table1[[#This Row],[Item]]))</f>
        <v>C</v>
      </c>
      <c r="D13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3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36" s="1" cm="1">
        <f t="array" ref="F136">VALUE(INDEX(_xlfn.TEXTSPLIT(Table1[[#This Row],[Item]], "-"), 5))</f>
        <v>0</v>
      </c>
      <c r="G136" s="1" cm="1">
        <f t="array" ref="G136">VALUE(INDEX(_xlfn.TEXTSPLIT(Table1[[#This Row],[Item]], "-"), 6))</f>
        <v>0</v>
      </c>
      <c r="H136" s="1" cm="1">
        <f t="array" ref="H136">VALUE(INDEX(_xlfn.TEXTSPLIT(Table1[[#This Row],[Item]], "-"), 7))</f>
        <v>0</v>
      </c>
      <c r="I136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36" s="1" t="str">
        <f>LEFT(RIGHT(Table1[[#This Row],[Item]],6),1)</f>
        <v>Y</v>
      </c>
      <c r="K136" s="1" t="str">
        <f t="shared" si="2"/>
        <v>Y</v>
      </c>
      <c r="L136" s="1" t="str">
        <f>RIGHT(Table1[[#This Row],[Item]],2)</f>
        <v>CA</v>
      </c>
      <c r="M136" s="1" t="s">
        <v>33</v>
      </c>
      <c r="N136" s="3" t="s">
        <v>152</v>
      </c>
      <c r="O136" s="1"/>
    </row>
    <row r="137" spans="1:15">
      <c r="A137" t="s">
        <v>153</v>
      </c>
      <c r="B137" s="1" t="str">
        <f>LEFT(Table1[[#This Row],[Item]], FIND("-", Table1[[#This Row],[Item]]) - 1)</f>
        <v>MA08</v>
      </c>
      <c r="C137" s="1" t="str">
        <f>MID(LEFT(Table1[[#This Row],[Item]], FIND("{token}", SUBSTITUTE(Table1[[#This Row],[Item]], "-", "{token}", 2)) - 1), FIND("-", Table1[[#This Row],[Item]]) + 1, LEN(Table1[[#This Row],[Item]]))</f>
        <v>N</v>
      </c>
      <c r="D13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3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37" s="1" cm="1">
        <f t="array" ref="F137">VALUE(INDEX(_xlfn.TEXTSPLIT(Table1[[#This Row],[Item]], "-"), 5))</f>
        <v>1</v>
      </c>
      <c r="G137" s="1" cm="1">
        <f t="array" ref="G137">VALUE(INDEX(_xlfn.TEXTSPLIT(Table1[[#This Row],[Item]], "-"), 6))</f>
        <v>0</v>
      </c>
      <c r="H137" s="1" cm="1">
        <f t="array" ref="H137">VALUE(INDEX(_xlfn.TEXTSPLIT(Table1[[#This Row],[Item]], "-"), 7))</f>
        <v>0</v>
      </c>
      <c r="I137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37" s="1" t="str">
        <f>LEFT(RIGHT(Table1[[#This Row],[Item]],6),1)</f>
        <v>Y</v>
      </c>
      <c r="K137" s="1" t="str">
        <f t="shared" si="2"/>
        <v>Y</v>
      </c>
      <c r="L137" s="1" t="str">
        <f>RIGHT(Table1[[#This Row],[Item]],2)</f>
        <v>CA</v>
      </c>
      <c r="M137" s="1" t="s">
        <v>16</v>
      </c>
      <c r="N137" s="3" t="s">
        <v>153</v>
      </c>
      <c r="O137" s="1">
        <v>15</v>
      </c>
    </row>
    <row r="138" spans="1:15">
      <c r="A138" t="s">
        <v>154</v>
      </c>
      <c r="B138" s="1" t="str">
        <f>LEFT(Table1[[#This Row],[Item]], FIND("-", Table1[[#This Row],[Item]]) - 1)</f>
        <v>MA10</v>
      </c>
      <c r="C138" s="1" t="str">
        <f>MID(LEFT(Table1[[#This Row],[Item]], FIND("{token}", SUBSTITUTE(Table1[[#This Row],[Item]], "-", "{token}", 2)) - 1), FIND("-", Table1[[#This Row],[Item]]) + 1, LEN(Table1[[#This Row],[Item]]))</f>
        <v>N</v>
      </c>
      <c r="D13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3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38" s="1" cm="1">
        <f t="array" ref="F138">VALUE(INDEX(_xlfn.TEXTSPLIT(Table1[[#This Row],[Item]], "-"), 5))</f>
        <v>2</v>
      </c>
      <c r="G138" s="1" cm="1">
        <f t="array" ref="G138">VALUE(INDEX(_xlfn.TEXTSPLIT(Table1[[#This Row],[Item]], "-"), 6))</f>
        <v>0</v>
      </c>
      <c r="H138" s="1" cm="1">
        <f t="array" ref="H138">VALUE(INDEX(_xlfn.TEXTSPLIT(Table1[[#This Row],[Item]], "-"), 7))</f>
        <v>0</v>
      </c>
      <c r="I138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38" s="1" t="str">
        <f>LEFT(RIGHT(Table1[[#This Row],[Item]],6),1)</f>
        <v>N</v>
      </c>
      <c r="K138" s="1" t="str">
        <f t="shared" si="2"/>
        <v>Y</v>
      </c>
      <c r="L138" s="1" t="str">
        <f>RIGHT(Table1[[#This Row],[Item]],2)</f>
        <v>CA</v>
      </c>
      <c r="M138" s="1" t="s">
        <v>33</v>
      </c>
      <c r="N138" s="3" t="s">
        <v>154</v>
      </c>
      <c r="O138" s="1"/>
    </row>
    <row r="139" spans="1:15">
      <c r="A139" t="s">
        <v>155</v>
      </c>
      <c r="B139" s="1" t="str">
        <f>LEFT(Table1[[#This Row],[Item]], FIND("-", Table1[[#This Row],[Item]]) - 1)</f>
        <v>MA10</v>
      </c>
      <c r="C139" s="1" t="str">
        <f>MID(LEFT(Table1[[#This Row],[Item]], FIND("{token}", SUBSTITUTE(Table1[[#This Row],[Item]], "-", "{token}", 2)) - 1), FIND("-", Table1[[#This Row],[Item]]) + 1, LEN(Table1[[#This Row],[Item]]))</f>
        <v>N</v>
      </c>
      <c r="D13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3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39" s="1" cm="1">
        <f t="array" ref="F139">VALUE(INDEX(_xlfn.TEXTSPLIT(Table1[[#This Row],[Item]], "-"), 5))</f>
        <v>2</v>
      </c>
      <c r="G139" s="1" cm="1">
        <f t="array" ref="G139">VALUE(INDEX(_xlfn.TEXTSPLIT(Table1[[#This Row],[Item]], "-"), 6))</f>
        <v>0</v>
      </c>
      <c r="H139" s="1" cm="1">
        <f t="array" ref="H139">VALUE(INDEX(_xlfn.TEXTSPLIT(Table1[[#This Row],[Item]], "-"), 7))</f>
        <v>0</v>
      </c>
      <c r="I139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39" s="1" t="str">
        <f>LEFT(RIGHT(Table1[[#This Row],[Item]],6),1)</f>
        <v>Y</v>
      </c>
      <c r="K139" s="1" t="str">
        <f t="shared" si="2"/>
        <v>Y</v>
      </c>
      <c r="L139" s="1" t="str">
        <f>RIGHT(Table1[[#This Row],[Item]],2)</f>
        <v>CA</v>
      </c>
      <c r="M139" s="1" t="s">
        <v>16</v>
      </c>
      <c r="N139" s="3" t="s">
        <v>155</v>
      </c>
      <c r="O139" s="1">
        <v>12</v>
      </c>
    </row>
    <row r="140" spans="1:15">
      <c r="A140" t="s">
        <v>156</v>
      </c>
      <c r="B140" s="1" t="str">
        <f>LEFT(Table1[[#This Row],[Item]], FIND("-", Table1[[#This Row],[Item]]) - 1)</f>
        <v>MA12</v>
      </c>
      <c r="C140" s="1" t="str">
        <f>MID(LEFT(Table1[[#This Row],[Item]], FIND("{token}", SUBSTITUTE(Table1[[#This Row],[Item]], "-", "{token}", 2)) - 1), FIND("-", Table1[[#This Row],[Item]]) + 1, LEN(Table1[[#This Row],[Item]]))</f>
        <v>C</v>
      </c>
      <c r="D14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4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40" s="1" cm="1">
        <f t="array" ref="F140">VALUE(INDEX(_xlfn.TEXTSPLIT(Table1[[#This Row],[Item]], "-"), 5))</f>
        <v>2</v>
      </c>
      <c r="G140" s="1" cm="1">
        <f t="array" ref="G140">VALUE(INDEX(_xlfn.TEXTSPLIT(Table1[[#This Row],[Item]], "-"), 6))</f>
        <v>0</v>
      </c>
      <c r="H140" s="1" cm="1">
        <f t="array" ref="H140">VALUE(INDEX(_xlfn.TEXTSPLIT(Table1[[#This Row],[Item]], "-"), 7))</f>
        <v>0</v>
      </c>
      <c r="I140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40" s="1" t="str">
        <f>LEFT(RIGHT(Table1[[#This Row],[Item]],6),1)</f>
        <v>Y</v>
      </c>
      <c r="K140" s="1" t="str">
        <f t="shared" si="2"/>
        <v>Y</v>
      </c>
      <c r="L140" s="1" t="str">
        <f>RIGHT(Table1[[#This Row],[Item]],2)</f>
        <v>CA</v>
      </c>
      <c r="M140" s="1" t="s">
        <v>16</v>
      </c>
      <c r="N140" s="3" t="s">
        <v>156</v>
      </c>
      <c r="O140" s="1"/>
    </row>
    <row r="141" spans="1:15">
      <c r="A141" t="s">
        <v>157</v>
      </c>
      <c r="B141" s="1" t="str">
        <f>LEFT(Table1[[#This Row],[Item]], FIND("-", Table1[[#This Row],[Item]]) - 1)</f>
        <v>MA12</v>
      </c>
      <c r="C141" s="1" t="str">
        <f>MID(LEFT(Table1[[#This Row],[Item]], FIND("{token}", SUBSTITUTE(Table1[[#This Row],[Item]], "-", "{token}", 2)) - 1), FIND("-", Table1[[#This Row],[Item]]) + 1, LEN(Table1[[#This Row],[Item]]))</f>
        <v>D</v>
      </c>
      <c r="D14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4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41" s="1" cm="1">
        <f t="array" ref="F141">VALUE(INDEX(_xlfn.TEXTSPLIT(Table1[[#This Row],[Item]], "-"), 5))</f>
        <v>0</v>
      </c>
      <c r="G141" s="1" cm="1">
        <f t="array" ref="G141">VALUE(INDEX(_xlfn.TEXTSPLIT(Table1[[#This Row],[Item]], "-"), 6))</f>
        <v>1</v>
      </c>
      <c r="H141" s="1" cm="1">
        <f t="array" ref="H141">VALUE(INDEX(_xlfn.TEXTSPLIT(Table1[[#This Row],[Item]], "-"), 7))</f>
        <v>0</v>
      </c>
      <c r="I141" s="1" t="str">
        <f>MID(LEFT(Table1[[#This Row],[Item]], FIND("{token}", SUBSTITUTE(Table1[[#This Row],[Item]], "-", "{token}", 8)) - 1), FIND("{token}", SUBSTITUTE(Table1[[#This Row],[Item]], "-", "{token}", 7)) + 1, LEN(Table1[[#This Row],[Item]]))</f>
        <v>SPO</v>
      </c>
      <c r="J141" s="1" t="str">
        <f>LEFT(RIGHT(Table1[[#This Row],[Item]],6),1)</f>
        <v>Y</v>
      </c>
      <c r="K141" s="1" t="str">
        <f t="shared" si="2"/>
        <v>Y</v>
      </c>
      <c r="L141" s="1" t="str">
        <f>RIGHT(Table1[[#This Row],[Item]],2)</f>
        <v>CA</v>
      </c>
      <c r="M141" s="1" t="s">
        <v>16</v>
      </c>
      <c r="N141" s="3" t="s">
        <v>157</v>
      </c>
      <c r="O141" s="1"/>
    </row>
    <row r="142" spans="1:15">
      <c r="A142" t="s">
        <v>158</v>
      </c>
      <c r="B142" s="1" t="str">
        <f>LEFT(Table1[[#This Row],[Item]], FIND("-", Table1[[#This Row],[Item]]) - 1)</f>
        <v>MA12</v>
      </c>
      <c r="C142" s="1" t="str">
        <f>MID(LEFT(Table1[[#This Row],[Item]], FIND("{token}", SUBSTITUTE(Table1[[#This Row],[Item]], "-", "{token}", 2)) - 1), FIND("-", Table1[[#This Row],[Item]]) + 1, LEN(Table1[[#This Row],[Item]]))</f>
        <v>D</v>
      </c>
      <c r="D142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4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42" s="1" cm="1">
        <f t="array" ref="F142">VALUE(INDEX(_xlfn.TEXTSPLIT(Table1[[#This Row],[Item]], "-"), 5))</f>
        <v>0</v>
      </c>
      <c r="G142" s="1" cm="1">
        <f t="array" ref="G142">VALUE(INDEX(_xlfn.TEXTSPLIT(Table1[[#This Row],[Item]], "-"), 6))</f>
        <v>2</v>
      </c>
      <c r="H142" s="1" cm="1">
        <f t="array" ref="H142">VALUE(INDEX(_xlfn.TEXTSPLIT(Table1[[#This Row],[Item]], "-"), 7))</f>
        <v>0</v>
      </c>
      <c r="I142" s="1" t="str">
        <f>MID(LEFT(Table1[[#This Row],[Item]], FIND("{token}", SUBSTITUTE(Table1[[#This Row],[Item]], "-", "{token}", 8)) - 1), FIND("{token}", SUBSTITUTE(Table1[[#This Row],[Item]], "-", "{token}", 7)) + 1, LEN(Table1[[#This Row],[Item]]))</f>
        <v>SPO</v>
      </c>
      <c r="J142" s="1" t="str">
        <f>LEFT(RIGHT(Table1[[#This Row],[Item]],6),1)</f>
        <v>Y</v>
      </c>
      <c r="K142" s="1" t="str">
        <f t="shared" si="2"/>
        <v>Y</v>
      </c>
      <c r="L142" s="1" t="str">
        <f>RIGHT(Table1[[#This Row],[Item]],2)</f>
        <v>CA</v>
      </c>
      <c r="M142" s="1" t="s">
        <v>19</v>
      </c>
      <c r="N142" s="3" t="s">
        <v>157</v>
      </c>
      <c r="O142" s="1"/>
    </row>
    <row r="143" spans="1:15">
      <c r="A143" t="s">
        <v>159</v>
      </c>
      <c r="B143" s="1" t="str">
        <f>LEFT(Table1[[#This Row],[Item]], FIND("-", Table1[[#This Row],[Item]]) - 1)</f>
        <v>MA12</v>
      </c>
      <c r="C143" s="1" t="str">
        <f>MID(LEFT(Table1[[#This Row],[Item]], FIND("{token}", SUBSTITUTE(Table1[[#This Row],[Item]], "-", "{token}", 2)) - 1), FIND("-", Table1[[#This Row],[Item]]) + 1, LEN(Table1[[#This Row],[Item]]))</f>
        <v>D</v>
      </c>
      <c r="D14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4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43" s="1" cm="1">
        <f t="array" ref="F143">VALUE(INDEX(_xlfn.TEXTSPLIT(Table1[[#This Row],[Item]], "-"), 5))</f>
        <v>0</v>
      </c>
      <c r="G143" s="1" cm="1">
        <f t="array" ref="G143">VALUE(INDEX(_xlfn.TEXTSPLIT(Table1[[#This Row],[Item]], "-"), 6))</f>
        <v>1</v>
      </c>
      <c r="H143" s="1" cm="1">
        <f t="array" ref="H143">VALUE(INDEX(_xlfn.TEXTSPLIT(Table1[[#This Row],[Item]], "-"), 7))</f>
        <v>0</v>
      </c>
      <c r="I143" s="1" t="str">
        <f>MID(LEFT(Table1[[#This Row],[Item]], FIND("{token}", SUBSTITUTE(Table1[[#This Row],[Item]], "-", "{token}", 8)) - 1), FIND("{token}", SUBSTITUTE(Table1[[#This Row],[Item]], "-", "{token}", 7)) + 1, LEN(Table1[[#This Row],[Item]]))</f>
        <v>SPO</v>
      </c>
      <c r="J143" s="1" t="str">
        <f>LEFT(RIGHT(Table1[[#This Row],[Item]],6),1)</f>
        <v>Y</v>
      </c>
      <c r="K143" s="1" t="str">
        <f t="shared" si="2"/>
        <v>Y</v>
      </c>
      <c r="L143" s="1" t="str">
        <f>RIGHT(Table1[[#This Row],[Item]],2)</f>
        <v>CA</v>
      </c>
      <c r="M143" s="1" t="s">
        <v>33</v>
      </c>
      <c r="N143" s="3" t="s">
        <v>159</v>
      </c>
      <c r="O143" s="1"/>
    </row>
    <row r="144" spans="1:15">
      <c r="A144" t="s">
        <v>160</v>
      </c>
      <c r="B144" s="1" t="str">
        <f>LEFT(Table1[[#This Row],[Item]], FIND("-", Table1[[#This Row],[Item]]) - 1)</f>
        <v>MA12</v>
      </c>
      <c r="C144" s="1" t="str">
        <f>MID(LEFT(Table1[[#This Row],[Item]], FIND("{token}", SUBSTITUTE(Table1[[#This Row],[Item]], "-", "{token}", 2)) - 1), FIND("-", Table1[[#This Row],[Item]]) + 1, LEN(Table1[[#This Row],[Item]]))</f>
        <v>DXL</v>
      </c>
      <c r="D14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4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44" s="1" cm="1">
        <f t="array" ref="F144">VALUE(INDEX(_xlfn.TEXTSPLIT(Table1[[#This Row],[Item]], "-"), 5))</f>
        <v>0</v>
      </c>
      <c r="G144" s="1" cm="1">
        <f t="array" ref="G144">VALUE(INDEX(_xlfn.TEXTSPLIT(Table1[[#This Row],[Item]], "-"), 6))</f>
        <v>1</v>
      </c>
      <c r="H144" s="1" cm="1">
        <f t="array" ref="H144">VALUE(INDEX(_xlfn.TEXTSPLIT(Table1[[#This Row],[Item]], "-"), 7))</f>
        <v>0</v>
      </c>
      <c r="I144" s="1" t="str">
        <f>MID(LEFT(Table1[[#This Row],[Item]], FIND("{token}", SUBSTITUTE(Table1[[#This Row],[Item]], "-", "{token}", 8)) - 1), FIND("{token}", SUBSTITUTE(Table1[[#This Row],[Item]], "-", "{token}", 7)) + 1, LEN(Table1[[#This Row],[Item]]))</f>
        <v>SPO</v>
      </c>
      <c r="J144" s="1" t="str">
        <f>LEFT(RIGHT(Table1[[#This Row],[Item]],6),1)</f>
        <v>Y</v>
      </c>
      <c r="K144" s="1" t="str">
        <f t="shared" si="2"/>
        <v>Y</v>
      </c>
      <c r="L144" s="1" t="str">
        <f>RIGHT(Table1[[#This Row],[Item]],2)</f>
        <v>CA</v>
      </c>
      <c r="M144" s="1" t="s">
        <v>33</v>
      </c>
      <c r="N144" s="3" t="s">
        <v>160</v>
      </c>
      <c r="O144" s="1"/>
    </row>
    <row r="145" spans="1:15">
      <c r="A145" t="s">
        <v>161</v>
      </c>
      <c r="B145" s="1" t="str">
        <f>LEFT(Table1[[#This Row],[Item]], FIND("-", Table1[[#This Row],[Item]]) - 1)</f>
        <v>MA14</v>
      </c>
      <c r="C145" s="1" t="str">
        <f>MID(LEFT(Table1[[#This Row],[Item]], FIND("{token}", SUBSTITUTE(Table1[[#This Row],[Item]], "-", "{token}", 2)) - 1), FIND("-", Table1[[#This Row],[Item]]) + 1, LEN(Table1[[#This Row],[Item]]))</f>
        <v>C</v>
      </c>
      <c r="D14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4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45" s="1" cm="1">
        <f t="array" ref="F145">VALUE(INDEX(_xlfn.TEXTSPLIT(Table1[[#This Row],[Item]], "-"), 5))</f>
        <v>2</v>
      </c>
      <c r="G145" s="1" cm="1">
        <f t="array" ref="G145">VALUE(INDEX(_xlfn.TEXTSPLIT(Table1[[#This Row],[Item]], "-"), 6))</f>
        <v>0</v>
      </c>
      <c r="H145" s="1" cm="1">
        <f t="array" ref="H145">VALUE(INDEX(_xlfn.TEXTSPLIT(Table1[[#This Row],[Item]], "-"), 7))</f>
        <v>0</v>
      </c>
      <c r="I145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45" s="1" t="str">
        <f>LEFT(RIGHT(Table1[[#This Row],[Item]],6),1)</f>
        <v>Y</v>
      </c>
      <c r="K145" s="1" t="str">
        <f t="shared" si="2"/>
        <v>Y</v>
      </c>
      <c r="L145" s="1" t="str">
        <f>RIGHT(Table1[[#This Row],[Item]],2)</f>
        <v>CA</v>
      </c>
      <c r="M145" s="1" t="s">
        <v>16</v>
      </c>
      <c r="N145" s="3" t="s">
        <v>161</v>
      </c>
      <c r="O145" s="1"/>
    </row>
    <row r="146" spans="1:15">
      <c r="A146" t="s">
        <v>162</v>
      </c>
      <c r="B146" s="1" t="str">
        <f>LEFT(Table1[[#This Row],[Item]], FIND("-", Table1[[#This Row],[Item]]) - 1)</f>
        <v>MA14</v>
      </c>
      <c r="C146" s="1" t="str">
        <f>MID(LEFT(Table1[[#This Row],[Item]], FIND("{token}", SUBSTITUTE(Table1[[#This Row],[Item]], "-", "{token}", 2)) - 1), FIND("-", Table1[[#This Row],[Item]]) + 1, LEN(Table1[[#This Row],[Item]]))</f>
        <v>D</v>
      </c>
      <c r="D146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4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46" s="1" cm="1">
        <f t="array" ref="F146">VALUE(INDEX(_xlfn.TEXTSPLIT(Table1[[#This Row],[Item]], "-"), 5))</f>
        <v>0</v>
      </c>
      <c r="G146" s="1" cm="1">
        <f t="array" ref="G146">VALUE(INDEX(_xlfn.TEXTSPLIT(Table1[[#This Row],[Item]], "-"), 6))</f>
        <v>2</v>
      </c>
      <c r="H146" s="1" cm="1">
        <f t="array" ref="H146">VALUE(INDEX(_xlfn.TEXTSPLIT(Table1[[#This Row],[Item]], "-"), 7))</f>
        <v>0</v>
      </c>
      <c r="I146" s="1" t="str">
        <f>MID(LEFT(Table1[[#This Row],[Item]], FIND("{token}", SUBSTITUTE(Table1[[#This Row],[Item]], "-", "{token}", 8)) - 1), FIND("{token}", SUBSTITUTE(Table1[[#This Row],[Item]], "-", "{token}", 7)) + 1, LEN(Table1[[#This Row],[Item]]))</f>
        <v>SPO</v>
      </c>
      <c r="J146" s="1" t="str">
        <f>LEFT(RIGHT(Table1[[#This Row],[Item]],6),1)</f>
        <v>Y</v>
      </c>
      <c r="K146" s="1" t="str">
        <f t="shared" si="2"/>
        <v>Y</v>
      </c>
      <c r="L146" s="1" t="str">
        <f>RIGHT(Table1[[#This Row],[Item]],2)</f>
        <v>CA</v>
      </c>
      <c r="M146" s="1" t="s">
        <v>33</v>
      </c>
      <c r="N146" s="3" t="s">
        <v>162</v>
      </c>
      <c r="O146" s="1"/>
    </row>
    <row r="147" spans="1:15">
      <c r="A147" t="s">
        <v>163</v>
      </c>
      <c r="B147" s="1" t="str">
        <f>LEFT(Table1[[#This Row],[Item]], FIND("-", Table1[[#This Row],[Item]]) - 1)</f>
        <v>MA14</v>
      </c>
      <c r="C147" s="1" t="str">
        <f>MID(LEFT(Table1[[#This Row],[Item]], FIND("{token}", SUBSTITUTE(Table1[[#This Row],[Item]], "-", "{token}", 2)) - 1), FIND("-", Table1[[#This Row],[Item]]) + 1, LEN(Table1[[#This Row],[Item]]))</f>
        <v>D</v>
      </c>
      <c r="D14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4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47" s="1" cm="1">
        <f t="array" ref="F147">VALUE(INDEX(_xlfn.TEXTSPLIT(Table1[[#This Row],[Item]], "-"), 5))</f>
        <v>0</v>
      </c>
      <c r="G147" s="1" cm="1">
        <f t="array" ref="G147">VALUE(INDEX(_xlfn.TEXTSPLIT(Table1[[#This Row],[Item]], "-"), 6))</f>
        <v>2</v>
      </c>
      <c r="H147" s="1" cm="1">
        <f t="array" ref="H147">VALUE(INDEX(_xlfn.TEXTSPLIT(Table1[[#This Row],[Item]], "-"), 7))</f>
        <v>0</v>
      </c>
      <c r="I147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47" s="1" t="str">
        <f>LEFT(RIGHT(Table1[[#This Row],[Item]],6),1)</f>
        <v>Y</v>
      </c>
      <c r="K147" s="1" t="str">
        <f t="shared" si="2"/>
        <v>Y</v>
      </c>
      <c r="L147" s="1" t="str">
        <f>RIGHT(Table1[[#This Row],[Item]],2)</f>
        <v>CA</v>
      </c>
      <c r="M147" s="1" t="s">
        <v>16</v>
      </c>
      <c r="N147" s="3" t="s">
        <v>163</v>
      </c>
      <c r="O147" s="1"/>
    </row>
    <row r="148" spans="1:15">
      <c r="A148" t="s">
        <v>164</v>
      </c>
      <c r="B148" s="1" t="str">
        <f>LEFT(Table1[[#This Row],[Item]], FIND("-", Table1[[#This Row],[Item]]) - 1)</f>
        <v>MA14</v>
      </c>
      <c r="C148" s="1" t="str">
        <f>MID(LEFT(Table1[[#This Row],[Item]], FIND("{token}", SUBSTITUTE(Table1[[#This Row],[Item]], "-", "{token}", 2)) - 1), FIND("-", Table1[[#This Row],[Item]]) + 1, LEN(Table1[[#This Row],[Item]]))</f>
        <v>DXL</v>
      </c>
      <c r="D14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4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48" s="1" cm="1">
        <f t="array" ref="F148">VALUE(INDEX(_xlfn.TEXTSPLIT(Table1[[#This Row],[Item]], "-"), 5))</f>
        <v>0</v>
      </c>
      <c r="G148" s="1" cm="1">
        <f t="array" ref="G148">VALUE(INDEX(_xlfn.TEXTSPLIT(Table1[[#This Row],[Item]], "-"), 6))</f>
        <v>2</v>
      </c>
      <c r="H148" s="1" cm="1">
        <f t="array" ref="H148">VALUE(INDEX(_xlfn.TEXTSPLIT(Table1[[#This Row],[Item]], "-"), 7))</f>
        <v>0</v>
      </c>
      <c r="I148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48" s="1" t="str">
        <f>LEFT(RIGHT(Table1[[#This Row],[Item]],6),1)</f>
        <v>Y</v>
      </c>
      <c r="K148" s="1" t="str">
        <f t="shared" si="2"/>
        <v>Y</v>
      </c>
      <c r="L148" s="1" t="str">
        <f>RIGHT(Table1[[#This Row],[Item]],2)</f>
        <v>CA</v>
      </c>
      <c r="M148" s="1" t="s">
        <v>33</v>
      </c>
      <c r="N148" s="3" t="s">
        <v>164</v>
      </c>
      <c r="O148" s="1"/>
    </row>
    <row r="149" spans="1:15">
      <c r="A149" t="s">
        <v>165</v>
      </c>
      <c r="B149" s="1" t="str">
        <f>LEFT(Table1[[#This Row],[Item]], FIND("-", Table1[[#This Row],[Item]]) - 1)</f>
        <v>STC8</v>
      </c>
      <c r="C149" s="1" t="str">
        <f>MID(LEFT(Table1[[#This Row],[Item]], FIND("{token}", SUBSTITUTE(Table1[[#This Row],[Item]], "-", "{token}", 2)) - 1), FIND("-", Table1[[#This Row],[Item]]) + 1, LEN(Table1[[#This Row],[Item]]))</f>
        <v>N</v>
      </c>
      <c r="D14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4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49" s="1" cm="1">
        <f t="array" ref="F149">VALUE(INDEX(_xlfn.TEXTSPLIT(Table1[[#This Row],[Item]], "-"), 5))</f>
        <v>1</v>
      </c>
      <c r="G149" s="1" cm="1">
        <f t="array" ref="G149">VALUE(INDEX(_xlfn.TEXTSPLIT(Table1[[#This Row],[Item]], "-"), 6))</f>
        <v>0</v>
      </c>
      <c r="H149" s="1" cm="1">
        <f t="array" ref="H149">VALUE(INDEX(_xlfn.TEXTSPLIT(Table1[[#This Row],[Item]], "-"), 7))</f>
        <v>0</v>
      </c>
      <c r="I149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49" s="1" t="str">
        <f>LEFT(RIGHT(Table1[[#This Row],[Item]],6),1)</f>
        <v>N</v>
      </c>
      <c r="K149" s="1" t="str">
        <f t="shared" si="2"/>
        <v>Y</v>
      </c>
      <c r="L149" s="1" t="str">
        <f>RIGHT(Table1[[#This Row],[Item]],2)</f>
        <v>CA</v>
      </c>
      <c r="M149" s="1" t="s">
        <v>33</v>
      </c>
      <c r="N149" s="3" t="s">
        <v>165</v>
      </c>
      <c r="O149" s="1"/>
    </row>
    <row r="150" spans="1:15">
      <c r="A150" t="s">
        <v>166</v>
      </c>
      <c r="B150" s="1" t="str">
        <f>LEFT(Table1[[#This Row],[Item]], FIND("-", Table1[[#This Row],[Item]]) - 1)</f>
        <v>STC8</v>
      </c>
      <c r="C150" s="1" t="str">
        <f>MID(LEFT(Table1[[#This Row],[Item]], FIND("{token}", SUBSTITUTE(Table1[[#This Row],[Item]], "-", "{token}", 2)) - 1), FIND("-", Table1[[#This Row],[Item]]) + 1, LEN(Table1[[#This Row],[Item]]))</f>
        <v>N</v>
      </c>
      <c r="D15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5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50" s="1" cm="1">
        <f t="array" ref="F150">VALUE(INDEX(_xlfn.TEXTSPLIT(Table1[[#This Row],[Item]], "-"), 5))</f>
        <v>1</v>
      </c>
      <c r="G150" s="1" cm="1">
        <f t="array" ref="G150">VALUE(INDEX(_xlfn.TEXTSPLIT(Table1[[#This Row],[Item]], "-"), 6))</f>
        <v>0</v>
      </c>
      <c r="H150" s="1" cm="1">
        <f t="array" ref="H150">VALUE(INDEX(_xlfn.TEXTSPLIT(Table1[[#This Row],[Item]], "-"), 7))</f>
        <v>0</v>
      </c>
      <c r="I150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50" s="1" t="str">
        <f>LEFT(RIGHT(Table1[[#This Row],[Item]],6),1)</f>
        <v>Y</v>
      </c>
      <c r="K150" s="1" t="str">
        <f t="shared" si="2"/>
        <v>Y</v>
      </c>
      <c r="L150" s="1" t="str">
        <f>RIGHT(Table1[[#This Row],[Item]],2)</f>
        <v>CA</v>
      </c>
      <c r="M150" s="1" t="s">
        <v>16</v>
      </c>
      <c r="N150" s="3" t="s">
        <v>166</v>
      </c>
      <c r="O150" s="1">
        <v>18</v>
      </c>
    </row>
    <row r="151" spans="1:15">
      <c r="A151" t="s">
        <v>167</v>
      </c>
      <c r="B151" s="1" t="str">
        <f>LEFT(Table1[[#This Row],[Item]], FIND("-", Table1[[#This Row],[Item]]) - 1)</f>
        <v>STC9</v>
      </c>
      <c r="C151" s="1" t="str">
        <f>MID(LEFT(Table1[[#This Row],[Item]], FIND("{token}", SUBSTITUTE(Table1[[#This Row],[Item]], "-", "{token}", 2)) - 1), FIND("-", Table1[[#This Row],[Item]]) + 1, LEN(Table1[[#This Row],[Item]]))</f>
        <v>C</v>
      </c>
      <c r="D15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5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51" s="1" cm="1">
        <f t="array" ref="F151">VALUE(INDEX(_xlfn.TEXTSPLIT(Table1[[#This Row],[Item]], "-"), 5))</f>
        <v>0</v>
      </c>
      <c r="G151" s="1" cm="1">
        <f t="array" ref="G151">VALUE(INDEX(_xlfn.TEXTSPLIT(Table1[[#This Row],[Item]], "-"), 6))</f>
        <v>0</v>
      </c>
      <c r="H151" s="1" cm="1">
        <f t="array" ref="H151">VALUE(INDEX(_xlfn.TEXTSPLIT(Table1[[#This Row],[Item]], "-"), 7))</f>
        <v>0</v>
      </c>
      <c r="I151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51" s="1" t="str">
        <f>LEFT(RIGHT(Table1[[#This Row],[Item]],6),1)</f>
        <v>Y</v>
      </c>
      <c r="K151" s="1" t="str">
        <f t="shared" si="2"/>
        <v>Y</v>
      </c>
      <c r="L151" s="1" t="str">
        <f>RIGHT(Table1[[#This Row],[Item]],2)</f>
        <v>CA</v>
      </c>
      <c r="M151" s="1" t="s">
        <v>33</v>
      </c>
      <c r="N151" s="3" t="s">
        <v>167</v>
      </c>
      <c r="O151" s="1"/>
    </row>
    <row r="152" spans="1:15">
      <c r="A152" t="s">
        <v>168</v>
      </c>
      <c r="B152" s="1" t="str">
        <f>LEFT(Table1[[#This Row],[Item]], FIND("-", Table1[[#This Row],[Item]]) - 1)</f>
        <v>STC9</v>
      </c>
      <c r="C152" s="1" t="str">
        <f>MID(LEFT(Table1[[#This Row],[Item]], FIND("{token}", SUBSTITUTE(Table1[[#This Row],[Item]], "-", "{token}", 2)) - 1), FIND("-", Table1[[#This Row],[Item]]) + 1, LEN(Table1[[#This Row],[Item]]))</f>
        <v>N</v>
      </c>
      <c r="D15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5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52" s="1" cm="1">
        <f t="array" ref="F152">VALUE(INDEX(_xlfn.TEXTSPLIT(Table1[[#This Row],[Item]], "-"), 5))</f>
        <v>2</v>
      </c>
      <c r="G152" s="1" cm="1">
        <f t="array" ref="G152">VALUE(INDEX(_xlfn.TEXTSPLIT(Table1[[#This Row],[Item]], "-"), 6))</f>
        <v>0</v>
      </c>
      <c r="H152" s="1" cm="1">
        <f t="array" ref="H152">VALUE(INDEX(_xlfn.TEXTSPLIT(Table1[[#This Row],[Item]], "-"), 7))</f>
        <v>0</v>
      </c>
      <c r="I152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52" s="1" t="str">
        <f>LEFT(RIGHT(Table1[[#This Row],[Item]],6),1)</f>
        <v>Y</v>
      </c>
      <c r="K152" s="1" t="str">
        <f t="shared" si="2"/>
        <v>Y</v>
      </c>
      <c r="L152" s="1" t="str">
        <f>RIGHT(Table1[[#This Row],[Item]],2)</f>
        <v>CA</v>
      </c>
      <c r="M152" s="1" t="s">
        <v>16</v>
      </c>
      <c r="N152" s="3" t="s">
        <v>168</v>
      </c>
      <c r="O152" s="1">
        <v>15</v>
      </c>
    </row>
    <row r="153" spans="1:15">
      <c r="A153" t="s">
        <v>169</v>
      </c>
      <c r="B153" s="1" t="str">
        <f>LEFT(Table1[[#This Row],[Item]], FIND("-", Table1[[#This Row],[Item]]) - 1)</f>
        <v>STR9</v>
      </c>
      <c r="C153" s="1" t="str">
        <f>MID(LEFT(Table1[[#This Row],[Item]], FIND("{token}", SUBSTITUTE(Table1[[#This Row],[Item]], "-", "{token}", 2)) - 1), FIND("-", Table1[[#This Row],[Item]]) + 1, LEN(Table1[[#This Row],[Item]]))</f>
        <v>N</v>
      </c>
      <c r="D15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5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53" s="1" cm="1">
        <f t="array" ref="F153">VALUE(INDEX(_xlfn.TEXTSPLIT(Table1[[#This Row],[Item]], "-"), 5))</f>
        <v>0</v>
      </c>
      <c r="G153" s="1" cm="1">
        <f t="array" ref="G153">VALUE(INDEX(_xlfn.TEXTSPLIT(Table1[[#This Row],[Item]], "-"), 6))</f>
        <v>0</v>
      </c>
      <c r="H153" s="1" cm="1">
        <f t="array" ref="H153">VALUE(INDEX(_xlfn.TEXTSPLIT(Table1[[#This Row],[Item]], "-"), 7))</f>
        <v>0</v>
      </c>
      <c r="I15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53" s="1" t="str">
        <f>LEFT(RIGHT(Table1[[#This Row],[Item]],6),1)</f>
        <v>Y</v>
      </c>
      <c r="K153" s="1" t="str">
        <f t="shared" si="2"/>
        <v>N</v>
      </c>
      <c r="L153" s="1" t="str">
        <f>RIGHT(Table1[[#This Row],[Item]],2)</f>
        <v>CA</v>
      </c>
      <c r="M153" s="1" t="s">
        <v>16</v>
      </c>
      <c r="N153" s="3" t="s">
        <v>169</v>
      </c>
      <c r="O153" s="1">
        <v>8</v>
      </c>
    </row>
    <row r="154" spans="1:15">
      <c r="A154" t="s">
        <v>170</v>
      </c>
      <c r="B154" s="1" t="str">
        <f>LEFT(Table1[[#This Row],[Item]], FIND("-", Table1[[#This Row],[Item]]) - 1)</f>
        <v>STT7</v>
      </c>
      <c r="C154" s="1" t="str">
        <f>MID(LEFT(Table1[[#This Row],[Item]], FIND("{token}", SUBSTITUTE(Table1[[#This Row],[Item]], "-", "{token}", 2)) - 1), FIND("-", Table1[[#This Row],[Item]]) + 1, LEN(Table1[[#This Row],[Item]]))</f>
        <v>N</v>
      </c>
      <c r="D15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5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54" s="1" cm="1">
        <f t="array" ref="F154">VALUE(INDEX(_xlfn.TEXTSPLIT(Table1[[#This Row],[Item]], "-"), 5))</f>
        <v>0</v>
      </c>
      <c r="G154" s="1" cm="1">
        <f t="array" ref="G154">VALUE(INDEX(_xlfn.TEXTSPLIT(Table1[[#This Row],[Item]], "-"), 6))</f>
        <v>0</v>
      </c>
      <c r="H154" s="1" cm="1">
        <f t="array" ref="H154">VALUE(INDEX(_xlfn.TEXTSPLIT(Table1[[#This Row],[Item]], "-"), 7))</f>
        <v>0</v>
      </c>
      <c r="I154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54" s="1" t="str">
        <f>LEFT(RIGHT(Table1[[#This Row],[Item]],6),1)</f>
        <v>Y</v>
      </c>
      <c r="K154" s="1" t="str">
        <f t="shared" si="2"/>
        <v>N</v>
      </c>
      <c r="L154" s="1" t="str">
        <f>RIGHT(Table1[[#This Row],[Item]],2)</f>
        <v>CA</v>
      </c>
      <c r="M154" s="1" t="s">
        <v>16</v>
      </c>
      <c r="N154" s="3" t="s">
        <v>170</v>
      </c>
      <c r="O154" s="1">
        <v>15</v>
      </c>
    </row>
    <row r="155" spans="1:15">
      <c r="A155" t="s">
        <v>171</v>
      </c>
      <c r="B155" s="1" t="str">
        <f>LEFT(Table1[[#This Row],[Item]], FIND("-", Table1[[#This Row],[Item]]) - 1)</f>
        <v>STT7</v>
      </c>
      <c r="C155" s="1" t="str">
        <f>MID(LEFT(Table1[[#This Row],[Item]], FIND("{token}", SUBSTITUTE(Table1[[#This Row],[Item]], "-", "{token}", 2)) - 1), FIND("-", Table1[[#This Row],[Item]]) + 1, LEN(Table1[[#This Row],[Item]]))</f>
        <v>N</v>
      </c>
      <c r="D15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5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55" s="1" cm="1">
        <f t="array" ref="F155">VALUE(INDEX(_xlfn.TEXTSPLIT(Table1[[#This Row],[Item]], "-"), 5))</f>
        <v>0</v>
      </c>
      <c r="G155" s="1" cm="1">
        <f t="array" ref="G155">VALUE(INDEX(_xlfn.TEXTSPLIT(Table1[[#This Row],[Item]], "-"), 6))</f>
        <v>0</v>
      </c>
      <c r="H155" s="1" cm="1">
        <f t="array" ref="H155">VALUE(INDEX(_xlfn.TEXTSPLIT(Table1[[#This Row],[Item]], "-"), 7))</f>
        <v>0</v>
      </c>
      <c r="I155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55" s="1" t="str">
        <f>LEFT(RIGHT(Table1[[#This Row],[Item]],6),1)</f>
        <v>Y</v>
      </c>
      <c r="K155" s="1" t="str">
        <f t="shared" si="2"/>
        <v>Y</v>
      </c>
      <c r="L155" s="1" t="str">
        <f>RIGHT(Table1[[#This Row],[Item]],2)</f>
        <v>CA</v>
      </c>
      <c r="M155" s="1" t="s">
        <v>16</v>
      </c>
      <c r="N155" s="3" t="s">
        <v>171</v>
      </c>
      <c r="O155" s="1">
        <v>16</v>
      </c>
    </row>
    <row r="156" spans="1:15">
      <c r="A156" t="s">
        <v>172</v>
      </c>
      <c r="B156" s="1" t="str">
        <f>LEFT(Table1[[#This Row],[Item]], FIND("-", Table1[[#This Row],[Item]]) - 1)</f>
        <v>STT9</v>
      </c>
      <c r="C156" s="1" t="str">
        <f>MID(LEFT(Table1[[#This Row],[Item]], FIND("{token}", SUBSTITUTE(Table1[[#This Row],[Item]], "-", "{token}", 2)) - 1), FIND("-", Table1[[#This Row],[Item]]) + 1, LEN(Table1[[#This Row],[Item]]))</f>
        <v>N</v>
      </c>
      <c r="D15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5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56" s="1" cm="1">
        <f t="array" ref="F156">VALUE(INDEX(_xlfn.TEXTSPLIT(Table1[[#This Row],[Item]], "-"), 5))</f>
        <v>0</v>
      </c>
      <c r="G156" s="1" cm="1">
        <f t="array" ref="G156">VALUE(INDEX(_xlfn.TEXTSPLIT(Table1[[#This Row],[Item]], "-"), 6))</f>
        <v>0</v>
      </c>
      <c r="H156" s="1" cm="1">
        <f t="array" ref="H156">VALUE(INDEX(_xlfn.TEXTSPLIT(Table1[[#This Row],[Item]], "-"), 7))</f>
        <v>0</v>
      </c>
      <c r="I156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56" s="1" t="str">
        <f>LEFT(RIGHT(Table1[[#This Row],[Item]],6),1)</f>
        <v>Y</v>
      </c>
      <c r="K156" s="1" t="str">
        <f t="shared" si="2"/>
        <v>Y</v>
      </c>
      <c r="L156" s="1" t="str">
        <f>RIGHT(Table1[[#This Row],[Item]],2)</f>
        <v>CA</v>
      </c>
      <c r="M156" s="1" t="s">
        <v>16</v>
      </c>
      <c r="N156" s="3" t="s">
        <v>172</v>
      </c>
      <c r="O156" s="1">
        <v>24</v>
      </c>
    </row>
    <row r="157" spans="1:15">
      <c r="A157" t="s">
        <v>173</v>
      </c>
      <c r="B157" s="1" t="str">
        <f>LEFT(Table1[[#This Row],[Item]], FIND("-", Table1[[#This Row],[Item]]) - 1)</f>
        <v>GX09</v>
      </c>
      <c r="C157" s="1" t="str">
        <f>MID(LEFT(Table1[[#This Row],[Item]], FIND("{token}", SUBSTITUTE(Table1[[#This Row],[Item]], "-", "{token}", 2)) - 1), FIND("-", Table1[[#This Row],[Item]]) + 1, LEN(Table1[[#This Row],[Item]]))</f>
        <v>RXL</v>
      </c>
      <c r="D15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5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57" s="1" cm="1">
        <f t="array" ref="F157">VALUE(INDEX(_xlfn.TEXTSPLIT(Table1[[#This Row],[Item]], "-"), 5))</f>
        <v>1</v>
      </c>
      <c r="G157" s="1" cm="1">
        <f t="array" ref="G157">VALUE(INDEX(_xlfn.TEXTSPLIT(Table1[[#This Row],[Item]], "-"), 6))</f>
        <v>1</v>
      </c>
      <c r="H157" s="1" cm="1">
        <f t="array" ref="H157">VALUE(INDEX(_xlfn.TEXTSPLIT(Table1[[#This Row],[Item]], "-"), 7))</f>
        <v>0</v>
      </c>
      <c r="I15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57" s="1" t="str">
        <f>LEFT(RIGHT(Table1[[#This Row],[Item]],6),1)</f>
        <v>N</v>
      </c>
      <c r="K157" s="1" t="str">
        <f t="shared" si="2"/>
        <v>N</v>
      </c>
      <c r="L157" s="1" t="str">
        <f>RIGHT(Table1[[#This Row],[Item]],2)</f>
        <v>CA</v>
      </c>
      <c r="M157" s="1" t="s">
        <v>33</v>
      </c>
      <c r="N157" t="s">
        <v>173</v>
      </c>
      <c r="O157" s="1"/>
    </row>
    <row r="158" spans="1:15">
      <c r="A158" t="s">
        <v>174</v>
      </c>
      <c r="B158" s="1" t="str">
        <f>LEFT(Table1[[#This Row],[Item]], FIND("-", Table1[[#This Row],[Item]]) - 1)</f>
        <v>GX09</v>
      </c>
      <c r="C158" s="1" t="str">
        <f>MID(LEFT(Table1[[#This Row],[Item]], FIND("{token}", SUBSTITUTE(Table1[[#This Row],[Item]], "-", "{token}", 2)) - 1), FIND("-", Table1[[#This Row],[Item]]) + 1, LEN(Table1[[#This Row],[Item]]))</f>
        <v>DXL</v>
      </c>
      <c r="D15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5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58" s="1" cm="1">
        <f t="array" ref="F158">VALUE(INDEX(_xlfn.TEXTSPLIT(Table1[[#This Row],[Item]], "-"), 5))</f>
        <v>0</v>
      </c>
      <c r="G158" s="1" cm="1">
        <f t="array" ref="G158">VALUE(INDEX(_xlfn.TEXTSPLIT(Table1[[#This Row],[Item]], "-"), 6))</f>
        <v>1</v>
      </c>
      <c r="H158" s="1" cm="1">
        <f t="array" ref="H158">VALUE(INDEX(_xlfn.TEXTSPLIT(Table1[[#This Row],[Item]], "-"), 7))</f>
        <v>1</v>
      </c>
      <c r="I15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58" s="1" t="str">
        <f>LEFT(RIGHT(Table1[[#This Row],[Item]],6),1)</f>
        <v>N</v>
      </c>
      <c r="K158" s="1" t="str">
        <f t="shared" si="2"/>
        <v>N</v>
      </c>
      <c r="L158" s="1" t="str">
        <f>RIGHT(Table1[[#This Row],[Item]],2)</f>
        <v>CA</v>
      </c>
      <c r="M158" s="1" t="s">
        <v>33</v>
      </c>
      <c r="N158" s="3" t="s">
        <v>174</v>
      </c>
      <c r="O158" s="1"/>
    </row>
    <row r="159" spans="1:15">
      <c r="A159" t="s">
        <v>175</v>
      </c>
      <c r="B159" s="1" t="str">
        <f>LEFT(Table1[[#This Row],[Item]], FIND("-", Table1[[#This Row],[Item]]) - 1)</f>
        <v>GX10</v>
      </c>
      <c r="C159" s="1" t="str">
        <f>MID(LEFT(Table1[[#This Row],[Item]], FIND("{token}", SUBSTITUTE(Table1[[#This Row],[Item]], "-", "{token}", 2)) - 1), FIND("-", Table1[[#This Row],[Item]]) + 1, LEN(Table1[[#This Row],[Item]]))</f>
        <v>CXL</v>
      </c>
      <c r="D159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15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59" s="1" cm="1">
        <f t="array" ref="F159">VALUE(INDEX(_xlfn.TEXTSPLIT(Table1[[#This Row],[Item]], "-"), 5))</f>
        <v>1</v>
      </c>
      <c r="G159" s="1" cm="1">
        <f t="array" ref="G159">VALUE(INDEX(_xlfn.TEXTSPLIT(Table1[[#This Row],[Item]], "-"), 6))</f>
        <v>2</v>
      </c>
      <c r="H159" s="1" cm="1">
        <f t="array" ref="H159">VALUE(INDEX(_xlfn.TEXTSPLIT(Table1[[#This Row],[Item]], "-"), 7))</f>
        <v>1</v>
      </c>
      <c r="I15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59" s="1" t="str">
        <f>LEFT(RIGHT(Table1[[#This Row],[Item]],6),1)</f>
        <v>N</v>
      </c>
      <c r="K159" s="1" t="str">
        <f t="shared" si="2"/>
        <v>N</v>
      </c>
      <c r="L159" s="1" t="str">
        <f>RIGHT(Table1[[#This Row],[Item]],2)</f>
        <v>CA</v>
      </c>
      <c r="M159" s="1" t="s">
        <v>33</v>
      </c>
      <c r="N159" s="3" t="s">
        <v>175</v>
      </c>
      <c r="O159" s="1"/>
    </row>
    <row r="160" spans="1:15">
      <c r="A160" t="s">
        <v>176</v>
      </c>
      <c r="B160" s="1" t="str">
        <f>LEFT(Table1[[#This Row],[Item]], FIND("-", Table1[[#This Row],[Item]]) - 1)</f>
        <v>GX12</v>
      </c>
      <c r="C160" s="1" t="str">
        <f>MID(LEFT(Table1[[#This Row],[Item]], FIND("{token}", SUBSTITUTE(Table1[[#This Row],[Item]], "-", "{token}", 2)) - 1), FIND("-", Table1[[#This Row],[Item]]) + 1, LEN(Table1[[#This Row],[Item]]))</f>
        <v>CXL</v>
      </c>
      <c r="D16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6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60" s="1" cm="1">
        <f t="array" ref="F160">VALUE(INDEX(_xlfn.TEXTSPLIT(Table1[[#This Row],[Item]], "-"), 5))</f>
        <v>2</v>
      </c>
      <c r="G160" s="1" cm="1">
        <f t="array" ref="G160">VALUE(INDEX(_xlfn.TEXTSPLIT(Table1[[#This Row],[Item]], "-"), 6))</f>
        <v>1</v>
      </c>
      <c r="H160" s="1" cm="1">
        <f t="array" ref="H160">VALUE(INDEX(_xlfn.TEXTSPLIT(Table1[[#This Row],[Item]], "-"), 7))</f>
        <v>1</v>
      </c>
      <c r="I16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60" s="1" t="str">
        <f>LEFT(RIGHT(Table1[[#This Row],[Item]],6),1)</f>
        <v>N</v>
      </c>
      <c r="K160" s="1" t="str">
        <f t="shared" si="2"/>
        <v>N</v>
      </c>
      <c r="L160" s="1" t="str">
        <f>RIGHT(Table1[[#This Row],[Item]],2)</f>
        <v>CA</v>
      </c>
      <c r="M160" s="1" t="s">
        <v>33</v>
      </c>
      <c r="N160" s="3" t="s">
        <v>176</v>
      </c>
      <c r="O160" s="1"/>
    </row>
    <row r="161" spans="1:15">
      <c r="A161" t="s">
        <v>177</v>
      </c>
      <c r="B161" s="1" t="str">
        <f>LEFT(Table1[[#This Row],[Item]], FIND("-", Table1[[#This Row],[Item]]) - 1)</f>
        <v>GX10</v>
      </c>
      <c r="C161" s="1" t="str">
        <f>MID(LEFT(Table1[[#This Row],[Item]], FIND("{token}", SUBSTITUTE(Table1[[#This Row],[Item]], "-", "{token}", 2)) - 1), FIND("-", Table1[[#This Row],[Item]]) + 1, LEN(Table1[[#This Row],[Item]]))</f>
        <v>CXL</v>
      </c>
      <c r="D161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16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61" s="1" cm="1">
        <f t="array" ref="F161">VALUE(INDEX(_xlfn.TEXTSPLIT(Table1[[#This Row],[Item]], "-"), 5))</f>
        <v>1</v>
      </c>
      <c r="G161" s="1" cm="1">
        <f t="array" ref="G161">VALUE(INDEX(_xlfn.TEXTSPLIT(Table1[[#This Row],[Item]], "-"), 6))</f>
        <v>1</v>
      </c>
      <c r="H161" s="1" cm="1">
        <f t="array" ref="H161">VALUE(INDEX(_xlfn.TEXTSPLIT(Table1[[#This Row],[Item]], "-"), 7))</f>
        <v>0</v>
      </c>
      <c r="I16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61" s="1" t="str">
        <f>LEFT(RIGHT(Table1[[#This Row],[Item]],6),1)</f>
        <v>N</v>
      </c>
      <c r="K161" s="1" t="str">
        <f t="shared" si="2"/>
        <v>N</v>
      </c>
      <c r="L161" s="1" t="str">
        <f>RIGHT(Table1[[#This Row],[Item]],2)</f>
        <v>CA</v>
      </c>
      <c r="M161" s="1" t="s">
        <v>33</v>
      </c>
      <c r="N161" s="3" t="s">
        <v>177</v>
      </c>
      <c r="O161" s="1"/>
    </row>
    <row r="162" spans="1:15">
      <c r="A162" t="s">
        <v>178</v>
      </c>
      <c r="B162" s="1" t="str">
        <f>LEFT(Table1[[#This Row],[Item]], FIND("-", Table1[[#This Row],[Item]]) - 1)</f>
        <v>GX12</v>
      </c>
      <c r="C162" s="1" t="str">
        <f>MID(LEFT(Table1[[#This Row],[Item]], FIND("{token}", SUBSTITUTE(Table1[[#This Row],[Item]], "-", "{token}", 2)) - 1), FIND("-", Table1[[#This Row],[Item]]) + 1, LEN(Table1[[#This Row],[Item]]))</f>
        <v>C</v>
      </c>
      <c r="D16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6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62" s="1" cm="1">
        <f t="array" ref="F162">VALUE(INDEX(_xlfn.TEXTSPLIT(Table1[[#This Row],[Item]], "-"), 5))</f>
        <v>1</v>
      </c>
      <c r="G162" s="1" cm="1">
        <f t="array" ref="G162">VALUE(INDEX(_xlfn.TEXTSPLIT(Table1[[#This Row],[Item]], "-"), 6))</f>
        <v>2</v>
      </c>
      <c r="H162" s="1" cm="1">
        <f t="array" ref="H162">VALUE(INDEX(_xlfn.TEXTSPLIT(Table1[[#This Row],[Item]], "-"), 7))</f>
        <v>0</v>
      </c>
      <c r="I16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62" s="1" t="str">
        <f>LEFT(RIGHT(Table1[[#This Row],[Item]],6),1)</f>
        <v>N</v>
      </c>
      <c r="K162" s="1" t="str">
        <f t="shared" si="2"/>
        <v>N</v>
      </c>
      <c r="L162" s="1" t="str">
        <f>RIGHT(Table1[[#This Row],[Item]],2)</f>
        <v>CA</v>
      </c>
      <c r="M162" s="1" t="s">
        <v>33</v>
      </c>
      <c r="N162" s="3" t="s">
        <v>178</v>
      </c>
      <c r="O162" s="1"/>
    </row>
    <row r="163" spans="1:15">
      <c r="A163" t="s">
        <v>179</v>
      </c>
      <c r="B163" s="1" t="str">
        <f>LEFT(Table1[[#This Row],[Item]], FIND("-", Table1[[#This Row],[Item]]) - 1)</f>
        <v>GX06</v>
      </c>
      <c r="C163" s="1" t="str">
        <f>MID(LEFT(Table1[[#This Row],[Item]], FIND("{token}", SUBSTITUTE(Table1[[#This Row],[Item]], "-", "{token}", 2)) - 1), FIND("-", Table1[[#This Row],[Item]]) + 1, LEN(Table1[[#This Row],[Item]]))</f>
        <v>R</v>
      </c>
      <c r="D16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6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63" s="1" cm="1">
        <f t="array" ref="F163">VALUE(INDEX(_xlfn.TEXTSPLIT(Table1[[#This Row],[Item]], "-"), 5))</f>
        <v>1</v>
      </c>
      <c r="G163" s="1" cm="1">
        <f t="array" ref="G163">VALUE(INDEX(_xlfn.TEXTSPLIT(Table1[[#This Row],[Item]], "-"), 6))</f>
        <v>0</v>
      </c>
      <c r="H163" s="1" cm="1">
        <f t="array" ref="H163">VALUE(INDEX(_xlfn.TEXTSPLIT(Table1[[#This Row],[Item]], "-"), 7))</f>
        <v>1</v>
      </c>
      <c r="I16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63" s="1" t="str">
        <f>LEFT(RIGHT(Table1[[#This Row],[Item]],6),1)</f>
        <v>N</v>
      </c>
      <c r="K163" s="1" t="str">
        <f t="shared" si="2"/>
        <v>N</v>
      </c>
      <c r="L163" s="1" t="str">
        <f>RIGHT(Table1[[#This Row],[Item]],2)</f>
        <v>CA</v>
      </c>
      <c r="M163" s="1" t="s">
        <v>33</v>
      </c>
      <c r="N163" t="s">
        <v>179</v>
      </c>
      <c r="O163" s="1"/>
    </row>
    <row r="164" spans="1:15">
      <c r="A164" t="s">
        <v>180</v>
      </c>
      <c r="B164" s="1" t="str">
        <f>LEFT(Table1[[#This Row],[Item]], FIND("-", Table1[[#This Row],[Item]]) - 1)</f>
        <v>GX12</v>
      </c>
      <c r="C164" s="1" t="str">
        <f>MID(LEFT(Table1[[#This Row],[Item]], FIND("{token}", SUBSTITUTE(Table1[[#This Row],[Item]], "-", "{token}", 2)) - 1), FIND("-", Table1[[#This Row],[Item]]) + 1, LEN(Table1[[#This Row],[Item]]))</f>
        <v>CXL</v>
      </c>
      <c r="D164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16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64" s="1" cm="1">
        <f t="array" ref="F164">VALUE(INDEX(_xlfn.TEXTSPLIT(Table1[[#This Row],[Item]], "-"), 5))</f>
        <v>2</v>
      </c>
      <c r="G164" s="1" cm="1">
        <f t="array" ref="G164">VALUE(INDEX(_xlfn.TEXTSPLIT(Table1[[#This Row],[Item]], "-"), 6))</f>
        <v>2</v>
      </c>
      <c r="H164" s="1" cm="1">
        <f t="array" ref="H164">VALUE(INDEX(_xlfn.TEXTSPLIT(Table1[[#This Row],[Item]], "-"), 7))</f>
        <v>0</v>
      </c>
      <c r="I16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64" s="1" t="str">
        <f>LEFT(RIGHT(Table1[[#This Row],[Item]],6),1)</f>
        <v>N</v>
      </c>
      <c r="K164" s="1" t="str">
        <f t="shared" si="2"/>
        <v>N</v>
      </c>
      <c r="L164" s="1" t="str">
        <f>RIGHT(Table1[[#This Row],[Item]],2)</f>
        <v>CA</v>
      </c>
      <c r="M164" s="1" t="s">
        <v>33</v>
      </c>
      <c r="N164" t="s">
        <v>180</v>
      </c>
      <c r="O164" s="1"/>
    </row>
    <row r="165" spans="1:15">
      <c r="A165" t="s">
        <v>181</v>
      </c>
      <c r="B165" s="1" t="str">
        <f>LEFT(Table1[[#This Row],[Item]], FIND("-", Table1[[#This Row],[Item]]) - 1)</f>
        <v>ARB8</v>
      </c>
      <c r="C165" s="1" t="str">
        <f>MID(LEFT(Table1[[#This Row],[Item]], FIND("{token}", SUBSTITUTE(Table1[[#This Row],[Item]], "-", "{token}", 2)) - 1), FIND("-", Table1[[#This Row],[Item]]) + 1, LEN(Table1[[#This Row],[Item]]))</f>
        <v>L</v>
      </c>
      <c r="D16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6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65" s="1" cm="1">
        <f t="array" ref="F165">VALUE(INDEX(_xlfn.TEXTSPLIT(Table1[[#This Row],[Item]], "-"), 5))</f>
        <v>1</v>
      </c>
      <c r="G165" s="1" cm="1">
        <f t="array" ref="G165">VALUE(INDEX(_xlfn.TEXTSPLIT(Table1[[#This Row],[Item]], "-"), 6))</f>
        <v>0</v>
      </c>
      <c r="H165" s="1" cm="1">
        <f t="array" ref="H165">VALUE(INDEX(_xlfn.TEXTSPLIT(Table1[[#This Row],[Item]], "-"), 7))</f>
        <v>1</v>
      </c>
      <c r="I165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65" s="1" t="str">
        <f>LEFT(RIGHT(Table1[[#This Row],[Item]],6),1)</f>
        <v>Y</v>
      </c>
      <c r="K165" s="1" t="str">
        <f t="shared" si="2"/>
        <v>Y</v>
      </c>
      <c r="L165" s="1" t="str">
        <f>RIGHT(Table1[[#This Row],[Item]],2)</f>
        <v>CA</v>
      </c>
      <c r="M165" s="1" t="s">
        <v>33</v>
      </c>
      <c r="N165" t="s">
        <v>182</v>
      </c>
      <c r="O165" s="1"/>
    </row>
    <row r="166" spans="1:15">
      <c r="A166" t="s">
        <v>183</v>
      </c>
      <c r="B166" s="1" t="str">
        <f>LEFT(Table1[[#This Row],[Item]], FIND("-", Table1[[#This Row],[Item]]) - 1)</f>
        <v>GX08</v>
      </c>
      <c r="C166" s="1" t="str">
        <f>MID(LEFT(Table1[[#This Row],[Item]], FIND("{token}", SUBSTITUTE(Table1[[#This Row],[Item]], "-", "{token}", 2)) - 1), FIND("-", Table1[[#This Row],[Item]]) + 1, LEN(Table1[[#This Row],[Item]]))</f>
        <v>R</v>
      </c>
      <c r="D16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6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66" s="1" cm="1">
        <f t="array" ref="F166">VALUE(INDEX(_xlfn.TEXTSPLIT(Table1[[#This Row],[Item]], "-"), 5))</f>
        <v>0</v>
      </c>
      <c r="G166" s="1" cm="1">
        <f t="array" ref="G166">VALUE(INDEX(_xlfn.TEXTSPLIT(Table1[[#This Row],[Item]], "-"), 6))</f>
        <v>1</v>
      </c>
      <c r="H166" s="1" cm="1">
        <f t="array" ref="H166">VALUE(INDEX(_xlfn.TEXTSPLIT(Table1[[#This Row],[Item]], "-"), 7))</f>
        <v>0</v>
      </c>
      <c r="I16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66" s="1" t="str">
        <f>LEFT(RIGHT(Table1[[#This Row],[Item]],6),1)</f>
        <v>N</v>
      </c>
      <c r="K166" s="1" t="str">
        <f t="shared" si="2"/>
        <v>N</v>
      </c>
      <c r="L166" s="1" t="str">
        <f>RIGHT(Table1[[#This Row],[Item]],2)</f>
        <v>CA</v>
      </c>
      <c r="M166" s="1" t="s">
        <v>33</v>
      </c>
      <c r="N166" s="3" t="s">
        <v>183</v>
      </c>
      <c r="O166" s="1"/>
    </row>
    <row r="167" spans="1:15">
      <c r="A167" t="s">
        <v>184</v>
      </c>
      <c r="B167" s="1" t="str">
        <f>LEFT(Table1[[#This Row],[Item]], FIND("-", Table1[[#This Row],[Item]]) - 1)</f>
        <v>MA12</v>
      </c>
      <c r="C167" s="1" t="str">
        <f>MID(LEFT(Table1[[#This Row],[Item]], FIND("{token}", SUBSTITUTE(Table1[[#This Row],[Item]], "-", "{token}", 2)) - 1), FIND("-", Table1[[#This Row],[Item]]) + 1, LEN(Table1[[#This Row],[Item]]))</f>
        <v>DXL</v>
      </c>
      <c r="D16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6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67" s="1" cm="1">
        <f t="array" ref="F167">VALUE(INDEX(_xlfn.TEXTSPLIT(Table1[[#This Row],[Item]], "-"), 5))</f>
        <v>0</v>
      </c>
      <c r="G167" s="1" cm="1">
        <f t="array" ref="G167">VALUE(INDEX(_xlfn.TEXTSPLIT(Table1[[#This Row],[Item]], "-"), 6))</f>
        <v>0</v>
      </c>
      <c r="H167" s="1" cm="1">
        <f t="array" ref="H167">VALUE(INDEX(_xlfn.TEXTSPLIT(Table1[[#This Row],[Item]], "-"), 7))</f>
        <v>0</v>
      </c>
      <c r="I167" s="1" t="str">
        <f>MID(LEFT(Table1[[#This Row],[Item]], FIND("{token}", SUBSTITUTE(Table1[[#This Row],[Item]], "-", "{token}", 8)) - 1), FIND("{token}", SUBSTITUTE(Table1[[#This Row],[Item]], "-", "{token}", 7)) + 1, LEN(Table1[[#This Row],[Item]]))</f>
        <v>SPO</v>
      </c>
      <c r="J167" s="1" t="str">
        <f>LEFT(RIGHT(Table1[[#This Row],[Item]],6),1)</f>
        <v>Y</v>
      </c>
      <c r="K167" s="1" t="str">
        <f t="shared" si="2"/>
        <v>Y</v>
      </c>
      <c r="L167" s="1" t="str">
        <f>RIGHT(Table1[[#This Row],[Item]],2)</f>
        <v>CA</v>
      </c>
      <c r="M167" s="1" t="s">
        <v>33</v>
      </c>
      <c r="N167" s="3" t="s">
        <v>184</v>
      </c>
      <c r="O167" s="1"/>
    </row>
    <row r="168" spans="1:15">
      <c r="A168" t="s">
        <v>185</v>
      </c>
      <c r="B168" s="1" t="str">
        <f>LEFT(Table1[[#This Row],[Item]], FIND("-", Table1[[#This Row],[Item]]) - 1)</f>
        <v>GX10</v>
      </c>
      <c r="C168" s="1" t="str">
        <f>MID(LEFT(Table1[[#This Row],[Item]], FIND("{token}", SUBSTITUTE(Table1[[#This Row],[Item]], "-", "{token}", 2)) - 1), FIND("-", Table1[[#This Row],[Item]]) + 1, LEN(Table1[[#This Row],[Item]]))</f>
        <v>L</v>
      </c>
      <c r="D168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16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68" s="1" cm="1">
        <f t="array" ref="F168">VALUE(INDEX(_xlfn.TEXTSPLIT(Table1[[#This Row],[Item]], "-"), 5))</f>
        <v>1</v>
      </c>
      <c r="G168" s="1" cm="1">
        <f t="array" ref="G168">VALUE(INDEX(_xlfn.TEXTSPLIT(Table1[[#This Row],[Item]], "-"), 6))</f>
        <v>1</v>
      </c>
      <c r="H168" s="1" cm="1">
        <f t="array" ref="H168">VALUE(INDEX(_xlfn.TEXTSPLIT(Table1[[#This Row],[Item]], "-"), 7))</f>
        <v>1</v>
      </c>
      <c r="I16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68" s="1" t="str">
        <f>LEFT(RIGHT(Table1[[#This Row],[Item]],6),1)</f>
        <v>N</v>
      </c>
      <c r="K168" s="1" t="str">
        <f t="shared" si="2"/>
        <v>N</v>
      </c>
      <c r="L168" s="1" t="str">
        <f>RIGHT(Table1[[#This Row],[Item]],2)</f>
        <v>CA</v>
      </c>
      <c r="M168" s="1" t="s">
        <v>33</v>
      </c>
      <c r="N168" t="s">
        <v>185</v>
      </c>
      <c r="O168" s="1"/>
    </row>
    <row r="169" spans="1:15">
      <c r="A169" t="s">
        <v>186</v>
      </c>
      <c r="B169" s="1" t="str">
        <f>LEFT(Table1[[#This Row],[Item]], FIND("-", Table1[[#This Row],[Item]]) - 1)</f>
        <v>EASY</v>
      </c>
      <c r="C169" s="1" t="str">
        <f>MID(LEFT(Table1[[#This Row],[Item]], FIND("{token}", SUBSTITUTE(Table1[[#This Row],[Item]], "-", "{token}", 2)) - 1), FIND("-", Table1[[#This Row],[Item]]) + 1, LEN(Table1[[#This Row],[Item]]))</f>
        <v>C</v>
      </c>
      <c r="D16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6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69" s="1" cm="1">
        <f t="array" ref="F169">VALUE(INDEX(_xlfn.TEXTSPLIT(Table1[[#This Row],[Item]], "-"), 5))</f>
        <v>4</v>
      </c>
      <c r="G169" s="1" cm="1">
        <f t="array" ref="G169">VALUE(INDEX(_xlfn.TEXTSPLIT(Table1[[#This Row],[Item]], "-"), 6))</f>
        <v>0</v>
      </c>
      <c r="H169" s="1" cm="1">
        <f t="array" ref="H169">VALUE(INDEX(_xlfn.TEXTSPLIT(Table1[[#This Row],[Item]], "-"), 7))</f>
        <v>0</v>
      </c>
      <c r="I16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69" s="1" t="str">
        <f>LEFT(RIGHT(Table1[[#This Row],[Item]],6),1)</f>
        <v>N</v>
      </c>
      <c r="K169" s="1" t="str">
        <f t="shared" si="2"/>
        <v>N</v>
      </c>
      <c r="L169" s="1" t="str">
        <f>RIGHT(Table1[[#This Row],[Item]],2)</f>
        <v>CA</v>
      </c>
      <c r="M169" s="1" t="s">
        <v>33</v>
      </c>
      <c r="N169" s="3" t="s">
        <v>186</v>
      </c>
      <c r="O169" s="1"/>
    </row>
    <row r="170" spans="1:15">
      <c r="A170" t="s">
        <v>187</v>
      </c>
      <c r="B170" s="1" t="str">
        <f>LEFT(Table1[[#This Row],[Item]], FIND("-", Table1[[#This Row],[Item]]) - 1)</f>
        <v>GX12</v>
      </c>
      <c r="C170" s="1" t="str">
        <f>MID(LEFT(Table1[[#This Row],[Item]], FIND("{token}", SUBSTITUTE(Table1[[#This Row],[Item]], "-", "{token}", 2)) - 1), FIND("-", Table1[[#This Row],[Item]]) + 1, LEN(Table1[[#This Row],[Item]]))</f>
        <v>CXL</v>
      </c>
      <c r="D17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7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70" s="1" cm="1">
        <f t="array" ref="F170">VALUE(INDEX(_xlfn.TEXTSPLIT(Table1[[#This Row],[Item]], "-"), 5))</f>
        <v>2</v>
      </c>
      <c r="G170" s="1" cm="1">
        <f t="array" ref="G170">VALUE(INDEX(_xlfn.TEXTSPLIT(Table1[[#This Row],[Item]], "-"), 6))</f>
        <v>2</v>
      </c>
      <c r="H170" s="1" cm="1">
        <f t="array" ref="H170">VALUE(INDEX(_xlfn.TEXTSPLIT(Table1[[#This Row],[Item]], "-"), 7))</f>
        <v>0</v>
      </c>
      <c r="I170" s="1" t="s">
        <v>188</v>
      </c>
      <c r="J170" s="1" t="str">
        <f>LEFT(RIGHT(Table1[[#This Row],[Item]],6),1)</f>
        <v>N</v>
      </c>
      <c r="K170" s="1" t="str">
        <f t="shared" si="2"/>
        <v>N</v>
      </c>
      <c r="L170" s="1" t="str">
        <f>RIGHT(Table1[[#This Row],[Item]],2)</f>
        <v>CA</v>
      </c>
      <c r="M170" s="1" t="s">
        <v>33</v>
      </c>
      <c r="N170" t="s">
        <v>187</v>
      </c>
      <c r="O170" s="1"/>
    </row>
    <row r="171" spans="1:15">
      <c r="A171" t="s">
        <v>189</v>
      </c>
      <c r="B171" s="1" t="str">
        <f>LEFT(Table1[[#This Row],[Item]], FIND("-", Table1[[#This Row],[Item]]) - 1)</f>
        <v>GX09</v>
      </c>
      <c r="C171" s="1" t="str">
        <f>MID(LEFT(Table1[[#This Row],[Item]], FIND("{token}", SUBSTITUTE(Table1[[#This Row],[Item]], "-", "{token}", 2)) - 1), FIND("-", Table1[[#This Row],[Item]]) + 1, LEN(Table1[[#This Row],[Item]]))</f>
        <v>RXL</v>
      </c>
      <c r="D17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7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71" s="1" cm="1">
        <f t="array" ref="F171">VALUE(INDEX(_xlfn.TEXTSPLIT(Table1[[#This Row],[Item]], "-"), 5))</f>
        <v>1</v>
      </c>
      <c r="G171" s="1" cm="1">
        <f t="array" ref="G171">VALUE(INDEX(_xlfn.TEXTSPLIT(Table1[[#This Row],[Item]], "-"), 6))</f>
        <v>1</v>
      </c>
      <c r="H171" s="1" cm="1">
        <f t="array" ref="H171">VALUE(INDEX(_xlfn.TEXTSPLIT(Table1[[#This Row],[Item]], "-"), 7))</f>
        <v>1</v>
      </c>
      <c r="I17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71" s="1" t="str">
        <f>LEFT(RIGHT(Table1[[#This Row],[Item]],6),1)</f>
        <v>N</v>
      </c>
      <c r="K171" s="1" t="str">
        <f t="shared" si="2"/>
        <v>N</v>
      </c>
      <c r="L171" s="1" t="str">
        <f>RIGHT(Table1[[#This Row],[Item]],2)</f>
        <v>CA</v>
      </c>
      <c r="M171" s="1" t="s">
        <v>33</v>
      </c>
      <c r="N171" s="3" t="s">
        <v>189</v>
      </c>
      <c r="O171" s="1"/>
    </row>
    <row r="172" spans="1:15">
      <c r="A172" t="s">
        <v>190</v>
      </c>
      <c r="B172" s="1" t="str">
        <f>LEFT(Table1[[#This Row],[Item]], FIND("-", Table1[[#This Row],[Item]]) - 1)</f>
        <v>GX08</v>
      </c>
      <c r="C172" s="1" t="str">
        <f>MID(LEFT(Table1[[#This Row],[Item]], FIND("{token}", SUBSTITUTE(Table1[[#This Row],[Item]], "-", "{token}", 2)) - 1), FIND("-", Table1[[#This Row],[Item]]) + 1, LEN(Table1[[#This Row],[Item]]))</f>
        <v>C</v>
      </c>
      <c r="D172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17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72" s="1" cm="1">
        <f t="array" ref="F172">VALUE(INDEX(_xlfn.TEXTSPLIT(Table1[[#This Row],[Item]], "-"), 5))</f>
        <v>1</v>
      </c>
      <c r="G172" s="1" cm="1">
        <f t="array" ref="G172">VALUE(INDEX(_xlfn.TEXTSPLIT(Table1[[#This Row],[Item]], "-"), 6))</f>
        <v>1</v>
      </c>
      <c r="H172" s="1" cm="1">
        <f t="array" ref="H172">VALUE(INDEX(_xlfn.TEXTSPLIT(Table1[[#This Row],[Item]], "-"), 7))</f>
        <v>0</v>
      </c>
      <c r="I17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72" s="1" t="str">
        <f>LEFT(RIGHT(Table1[[#This Row],[Item]],6),1)</f>
        <v>N</v>
      </c>
      <c r="K172" s="1" t="str">
        <f t="shared" si="2"/>
        <v>N</v>
      </c>
      <c r="L172" s="1" t="str">
        <f>RIGHT(Table1[[#This Row],[Item]],2)</f>
        <v>CA</v>
      </c>
      <c r="M172" s="1" t="s">
        <v>33</v>
      </c>
      <c r="N172" s="3" t="s">
        <v>190</v>
      </c>
      <c r="O172" s="1"/>
    </row>
    <row r="173" spans="1:15">
      <c r="A173" t="s">
        <v>191</v>
      </c>
      <c r="B173" s="1" t="str">
        <f>LEFT(Table1[[#This Row],[Item]], FIND("-", Table1[[#This Row],[Item]]) - 1)</f>
        <v>GX09</v>
      </c>
      <c r="C173" s="1" t="str">
        <f>MID(LEFT(Table1[[#This Row],[Item]], FIND("{token}", SUBSTITUTE(Table1[[#This Row],[Item]], "-", "{token}", 2)) - 1), FIND("-", Table1[[#This Row],[Item]]) + 1, LEN(Table1[[#This Row],[Item]]))</f>
        <v>R</v>
      </c>
      <c r="D17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7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73" s="1" cm="1">
        <f t="array" ref="F173">VALUE(INDEX(_xlfn.TEXTSPLIT(Table1[[#This Row],[Item]], "-"), 5))</f>
        <v>1</v>
      </c>
      <c r="G173" s="1" cm="1">
        <f t="array" ref="G173">VALUE(INDEX(_xlfn.TEXTSPLIT(Table1[[#This Row],[Item]], "-"), 6))</f>
        <v>1</v>
      </c>
      <c r="H173" s="1" cm="1">
        <f t="array" ref="H173">VALUE(INDEX(_xlfn.TEXTSPLIT(Table1[[#This Row],[Item]], "-"), 7))</f>
        <v>1</v>
      </c>
      <c r="I17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73" s="1" t="str">
        <f>LEFT(RIGHT(Table1[[#This Row],[Item]],6),1)</f>
        <v>N</v>
      </c>
      <c r="K173" s="1" t="str">
        <f t="shared" si="2"/>
        <v>N</v>
      </c>
      <c r="L173" s="1" t="str">
        <f>RIGHT(Table1[[#This Row],[Item]],2)</f>
        <v>CA</v>
      </c>
      <c r="M173" s="1" t="s">
        <v>33</v>
      </c>
      <c r="N173" s="3" t="s">
        <v>191</v>
      </c>
      <c r="O173" s="1"/>
    </row>
    <row r="174" spans="1:15">
      <c r="A174" t="s">
        <v>192</v>
      </c>
      <c r="B174" s="1" t="str">
        <f>LEFT(Table1[[#This Row],[Item]], FIND("-", Table1[[#This Row],[Item]]) - 1)</f>
        <v>GX12</v>
      </c>
      <c r="C174" s="1" t="str">
        <f>MID(LEFT(Table1[[#This Row],[Item]], FIND("{token}", SUBSTITUTE(Table1[[#This Row],[Item]], "-", "{token}", 2)) - 1), FIND("-", Table1[[#This Row],[Item]]) + 1, LEN(Table1[[#This Row],[Item]]))</f>
        <v>CXL</v>
      </c>
      <c r="D17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7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74" s="1" cm="1">
        <f t="array" ref="F174">VALUE(INDEX(_xlfn.TEXTSPLIT(Table1[[#This Row],[Item]], "-"), 5))</f>
        <v>2</v>
      </c>
      <c r="G174" s="1" cm="1">
        <f t="array" ref="G174">VALUE(INDEX(_xlfn.TEXTSPLIT(Table1[[#This Row],[Item]], "-"), 6))</f>
        <v>2</v>
      </c>
      <c r="H174" s="1" cm="1">
        <f t="array" ref="H174">VALUE(INDEX(_xlfn.TEXTSPLIT(Table1[[#This Row],[Item]], "-"), 7))</f>
        <v>1</v>
      </c>
      <c r="I17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74" s="1" t="str">
        <f>LEFT(RIGHT(Table1[[#This Row],[Item]],6),1)</f>
        <v>N</v>
      </c>
      <c r="K174" s="1" t="str">
        <f t="shared" si="2"/>
        <v>N</v>
      </c>
      <c r="L174" s="1" t="str">
        <f>RIGHT(Table1[[#This Row],[Item]],2)</f>
        <v>CA</v>
      </c>
      <c r="M174" s="1" t="s">
        <v>33</v>
      </c>
      <c r="N174" t="s">
        <v>192</v>
      </c>
      <c r="O174" s="1"/>
    </row>
    <row r="175" spans="1:15">
      <c r="A175" t="s">
        <v>193</v>
      </c>
      <c r="B175" s="1" t="str">
        <f>LEFT(Table1[[#This Row],[Item]], FIND("-", Table1[[#This Row],[Item]]) - 1)</f>
        <v>STC8</v>
      </c>
      <c r="C175" s="1" t="str">
        <f>MID(LEFT(Table1[[#This Row],[Item]], FIND("{token}", SUBSTITUTE(Table1[[#This Row],[Item]], "-", "{token}", 2)) - 1), FIND("-", Table1[[#This Row],[Item]]) + 1, LEN(Table1[[#This Row],[Item]]))</f>
        <v>N</v>
      </c>
      <c r="D17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7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75" s="1" cm="1">
        <f t="array" ref="F175">VALUE(INDEX(_xlfn.TEXTSPLIT(Table1[[#This Row],[Item]], "-"), 5))</f>
        <v>1</v>
      </c>
      <c r="G175" s="1" cm="1">
        <f t="array" ref="G175">VALUE(INDEX(_xlfn.TEXTSPLIT(Table1[[#This Row],[Item]], "-"), 6))</f>
        <v>0</v>
      </c>
      <c r="H175" s="1" cm="1">
        <f t="array" ref="H175">VALUE(INDEX(_xlfn.TEXTSPLIT(Table1[[#This Row],[Item]], "-"), 7))</f>
        <v>0</v>
      </c>
      <c r="I17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75" s="1" t="str">
        <f>LEFT(RIGHT(Table1[[#This Row],[Item]],6),1)</f>
        <v>Y</v>
      </c>
      <c r="K175" s="1" t="str">
        <f t="shared" si="2"/>
        <v>N</v>
      </c>
      <c r="L175" s="1" t="str">
        <f>RIGHT(Table1[[#This Row],[Item]],2)</f>
        <v>CA</v>
      </c>
      <c r="M175" s="1" t="s">
        <v>16</v>
      </c>
      <c r="N175" t="s">
        <v>193</v>
      </c>
      <c r="O175" s="1"/>
    </row>
    <row r="176" spans="1:15">
      <c r="A176" t="s">
        <v>194</v>
      </c>
      <c r="B176" s="1" t="str">
        <f>LEFT(Table1[[#This Row],[Item]], FIND("-", Table1[[#This Row],[Item]]) - 1)</f>
        <v>GX10</v>
      </c>
      <c r="C176" s="1" t="str">
        <f>MID(LEFT(Table1[[#This Row],[Item]], FIND("{token}", SUBSTITUTE(Table1[[#This Row],[Item]], "-", "{token}", 2)) - 1), FIND("-", Table1[[#This Row],[Item]]) + 1, LEN(Table1[[#This Row],[Item]]))</f>
        <v>L</v>
      </c>
      <c r="D17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7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76" s="1" cm="1">
        <f t="array" ref="F176">VALUE(INDEX(_xlfn.TEXTSPLIT(Table1[[#This Row],[Item]], "-"), 5))</f>
        <v>1</v>
      </c>
      <c r="G176" s="1" cm="1">
        <f t="array" ref="G176">VALUE(INDEX(_xlfn.TEXTSPLIT(Table1[[#This Row],[Item]], "-"), 6))</f>
        <v>0</v>
      </c>
      <c r="H176" s="1" cm="1">
        <f t="array" ref="H176">VALUE(INDEX(_xlfn.TEXTSPLIT(Table1[[#This Row],[Item]], "-"), 7))</f>
        <v>0</v>
      </c>
      <c r="I17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76" s="1" t="str">
        <f>LEFT(RIGHT(Table1[[#This Row],[Item]],6),1)</f>
        <v>N</v>
      </c>
      <c r="K176" s="1" t="str">
        <f t="shared" si="2"/>
        <v>N</v>
      </c>
      <c r="L176" s="1" t="str">
        <f>RIGHT(Table1[[#This Row],[Item]],2)</f>
        <v>CA</v>
      </c>
      <c r="M176" s="1" t="s">
        <v>33</v>
      </c>
      <c r="N176" s="3" t="s">
        <v>194</v>
      </c>
      <c r="O176" s="1"/>
    </row>
    <row r="177" spans="1:15">
      <c r="A177" t="s">
        <v>195</v>
      </c>
      <c r="B177" s="1" t="str">
        <f>LEFT(Table1[[#This Row],[Item]], FIND("-", Table1[[#This Row],[Item]]) - 1)</f>
        <v>MA12</v>
      </c>
      <c r="C177" s="1" t="str">
        <f>MID(LEFT(Table1[[#This Row],[Item]], FIND("{token}", SUBSTITUTE(Table1[[#This Row],[Item]], "-", "{token}", 2)) - 1), FIND("-", Table1[[#This Row],[Item]]) + 1, LEN(Table1[[#This Row],[Item]]))</f>
        <v>N</v>
      </c>
      <c r="D17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7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77" s="1" cm="1">
        <f t="array" ref="F177">VALUE(INDEX(_xlfn.TEXTSPLIT(Table1[[#This Row],[Item]], "-"), 5))</f>
        <v>2</v>
      </c>
      <c r="G177" s="1" cm="1">
        <f t="array" ref="G177">VALUE(INDEX(_xlfn.TEXTSPLIT(Table1[[#This Row],[Item]], "-"), 6))</f>
        <v>0</v>
      </c>
      <c r="H177" s="1" cm="1">
        <f t="array" ref="H177">VALUE(INDEX(_xlfn.TEXTSPLIT(Table1[[#This Row],[Item]], "-"), 7))</f>
        <v>0</v>
      </c>
      <c r="I177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77" s="1" t="str">
        <f>LEFT(RIGHT(Table1[[#This Row],[Item]],6),1)</f>
        <v>Y</v>
      </c>
      <c r="K177" s="1" t="str">
        <f t="shared" si="2"/>
        <v>Y</v>
      </c>
      <c r="L177" s="1" t="str">
        <f>RIGHT(Table1[[#This Row],[Item]],2)</f>
        <v>CA</v>
      </c>
      <c r="M177" s="1" t="s">
        <v>33</v>
      </c>
      <c r="N177" s="3" t="s">
        <v>195</v>
      </c>
      <c r="O177" s="1"/>
    </row>
    <row r="178" spans="1:15">
      <c r="A178" t="s">
        <v>196</v>
      </c>
      <c r="B178" s="1" t="str">
        <f>LEFT(Table1[[#This Row],[Item]], FIND("-", Table1[[#This Row],[Item]]) - 1)</f>
        <v>GX06</v>
      </c>
      <c r="C178" s="1" t="str">
        <f>MID(LEFT(Table1[[#This Row],[Item]], FIND("{token}", SUBSTITUTE(Table1[[#This Row],[Item]], "-", "{token}", 2)) - 1), FIND("-", Table1[[#This Row],[Item]]) + 1, LEN(Table1[[#This Row],[Item]]))</f>
        <v>R</v>
      </c>
      <c r="D17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7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78" s="1" cm="1">
        <f t="array" ref="F178">VALUE(INDEX(_xlfn.TEXTSPLIT(Table1[[#This Row],[Item]], "-"), 5))</f>
        <v>1</v>
      </c>
      <c r="G178" s="1" cm="1">
        <f t="array" ref="G178">VALUE(INDEX(_xlfn.TEXTSPLIT(Table1[[#This Row],[Item]], "-"), 6))</f>
        <v>1</v>
      </c>
      <c r="H178" s="1" cm="1">
        <f t="array" ref="H178">VALUE(INDEX(_xlfn.TEXTSPLIT(Table1[[#This Row],[Item]], "-"), 7))</f>
        <v>1</v>
      </c>
      <c r="I17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78" s="1" t="str">
        <f>LEFT(RIGHT(Table1[[#This Row],[Item]],6),1)</f>
        <v>N</v>
      </c>
      <c r="K178" s="1" t="str">
        <f t="shared" si="2"/>
        <v>N</v>
      </c>
      <c r="L178" s="1" t="str">
        <f>RIGHT(Table1[[#This Row],[Item]],2)</f>
        <v>CA</v>
      </c>
      <c r="M178" s="1" t="s">
        <v>33</v>
      </c>
      <c r="N178" t="s">
        <v>196</v>
      </c>
      <c r="O178" s="1"/>
    </row>
    <row r="179" spans="1:15">
      <c r="A179" t="s">
        <v>197</v>
      </c>
      <c r="B179" s="1" t="str">
        <f>LEFT(Table1[[#This Row],[Item]], FIND("-", Table1[[#This Row],[Item]]) - 1)</f>
        <v>MA12</v>
      </c>
      <c r="C179" s="1" t="str">
        <f>MID(LEFT(Table1[[#This Row],[Item]], FIND("{token}", SUBSTITUTE(Table1[[#This Row],[Item]], "-", "{token}", 2)) - 1), FIND("-", Table1[[#This Row],[Item]]) + 1, LEN(Table1[[#This Row],[Item]]))</f>
        <v>D</v>
      </c>
      <c r="D17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7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79" s="1" cm="1">
        <f t="array" ref="F179">VALUE(INDEX(_xlfn.TEXTSPLIT(Table1[[#This Row],[Item]], "-"), 5))</f>
        <v>0</v>
      </c>
      <c r="G179" s="1" cm="1">
        <f t="array" ref="G179">VALUE(INDEX(_xlfn.TEXTSPLIT(Table1[[#This Row],[Item]], "-"), 6))</f>
        <v>1</v>
      </c>
      <c r="H179" s="1" cm="1">
        <f t="array" ref="H179">VALUE(INDEX(_xlfn.TEXTSPLIT(Table1[[#This Row],[Item]], "-"), 7))</f>
        <v>0</v>
      </c>
      <c r="I179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79" s="1" t="str">
        <f>LEFT(RIGHT(Table1[[#This Row],[Item]],6),1)</f>
        <v>Y</v>
      </c>
      <c r="K179" s="1" t="str">
        <f t="shared" si="2"/>
        <v>Y</v>
      </c>
      <c r="L179" s="1" t="str">
        <f>RIGHT(Table1[[#This Row],[Item]],2)</f>
        <v>CA</v>
      </c>
      <c r="M179" s="1" t="s">
        <v>33</v>
      </c>
      <c r="N179" t="s">
        <v>197</v>
      </c>
      <c r="O179" s="1"/>
    </row>
    <row r="180" spans="1:15">
      <c r="A180" t="s">
        <v>198</v>
      </c>
      <c r="B180" s="1" t="str">
        <f>LEFT(Table1[[#This Row],[Item]], FIND("-", Table1[[#This Row],[Item]]) - 1)</f>
        <v>GX08</v>
      </c>
      <c r="C180" s="1" t="str">
        <f>MID(LEFT(Table1[[#This Row],[Item]], FIND("{token}", SUBSTITUTE(Table1[[#This Row],[Item]], "-", "{token}", 2)) - 1), FIND("-", Table1[[#This Row],[Item]]) + 1, LEN(Table1[[#This Row],[Item]]))</f>
        <v>L</v>
      </c>
      <c r="D18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8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80" s="1" cm="1">
        <f t="array" ref="F180">VALUE(INDEX(_xlfn.TEXTSPLIT(Table1[[#This Row],[Item]], "-"), 5))</f>
        <v>1</v>
      </c>
      <c r="G180" s="1" cm="1">
        <f t="array" ref="G180">VALUE(INDEX(_xlfn.TEXTSPLIT(Table1[[#This Row],[Item]], "-"), 6))</f>
        <v>1</v>
      </c>
      <c r="H180" s="1" cm="1">
        <f t="array" ref="H180">VALUE(INDEX(_xlfn.TEXTSPLIT(Table1[[#This Row],[Item]], "-"), 7))</f>
        <v>0</v>
      </c>
      <c r="I18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80" s="1" t="str">
        <f>LEFT(RIGHT(Table1[[#This Row],[Item]],6),1)</f>
        <v>N</v>
      </c>
      <c r="K180" s="1" t="str">
        <f t="shared" si="2"/>
        <v>N</v>
      </c>
      <c r="L180" s="1" t="str">
        <f>RIGHT(Table1[[#This Row],[Item]],2)</f>
        <v>CA</v>
      </c>
      <c r="M180" s="1" t="s">
        <v>33</v>
      </c>
      <c r="N180" t="s">
        <v>198</v>
      </c>
      <c r="O180" s="1"/>
    </row>
    <row r="181" spans="1:15">
      <c r="A181" t="s">
        <v>199</v>
      </c>
      <c r="B181" s="1" t="str">
        <f>LEFT(Table1[[#This Row],[Item]], FIND("-", Table1[[#This Row],[Item]]) - 1)</f>
        <v>GX09</v>
      </c>
      <c r="C181" s="1" t="str">
        <f>MID(LEFT(Table1[[#This Row],[Item]], FIND("{token}", SUBSTITUTE(Table1[[#This Row],[Item]], "-", "{token}", 2)) - 1), FIND("-", Table1[[#This Row],[Item]]) + 1, LEN(Table1[[#This Row],[Item]]))</f>
        <v>RXL</v>
      </c>
      <c r="D18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8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81" s="1" cm="1">
        <f t="array" ref="F181">VALUE(INDEX(_xlfn.TEXTSPLIT(Table1[[#This Row],[Item]], "-"), 5))</f>
        <v>1</v>
      </c>
      <c r="G181" s="1" cm="1">
        <f t="array" ref="G181">VALUE(INDEX(_xlfn.TEXTSPLIT(Table1[[#This Row],[Item]], "-"), 6))</f>
        <v>2</v>
      </c>
      <c r="H181" s="1" cm="1">
        <f t="array" ref="H181">VALUE(INDEX(_xlfn.TEXTSPLIT(Table1[[#This Row],[Item]], "-"), 7))</f>
        <v>0</v>
      </c>
      <c r="I18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81" s="1" t="str">
        <f>LEFT(RIGHT(Table1[[#This Row],[Item]],6),1)</f>
        <v>N</v>
      </c>
      <c r="K181" s="1" t="str">
        <f t="shared" si="2"/>
        <v>N</v>
      </c>
      <c r="L181" s="1" t="str">
        <f>RIGHT(Table1[[#This Row],[Item]],2)</f>
        <v>CA</v>
      </c>
      <c r="M181" s="1" t="s">
        <v>33</v>
      </c>
      <c r="N181" t="s">
        <v>199</v>
      </c>
      <c r="O181" s="1"/>
    </row>
    <row r="182" spans="1:15">
      <c r="A182" t="s">
        <v>200</v>
      </c>
      <c r="B182" s="1" t="str">
        <f>LEFT(Table1[[#This Row],[Item]], FIND("-", Table1[[#This Row],[Item]]) - 1)</f>
        <v>GX05</v>
      </c>
      <c r="C182" s="1" t="str">
        <f>MID(LEFT(Table1[[#This Row],[Item]], FIND("{token}", SUBSTITUTE(Table1[[#This Row],[Item]], "-", "{token}", 2)) - 1), FIND("-", Table1[[#This Row],[Item]]) + 1, LEN(Table1[[#This Row],[Item]]))</f>
        <v>R</v>
      </c>
      <c r="D18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8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82" s="1" cm="1">
        <f t="array" ref="F182">VALUE(INDEX(_xlfn.TEXTSPLIT(Table1[[#This Row],[Item]], "-"), 5))</f>
        <v>0</v>
      </c>
      <c r="G182" s="1" cm="1">
        <f t="array" ref="G182">VALUE(INDEX(_xlfn.TEXTSPLIT(Table1[[#This Row],[Item]], "-"), 6))</f>
        <v>1</v>
      </c>
      <c r="H182" s="1" cm="1">
        <f t="array" ref="H182">VALUE(INDEX(_xlfn.TEXTSPLIT(Table1[[#This Row],[Item]], "-"), 7))</f>
        <v>0</v>
      </c>
      <c r="I18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82" s="1" t="str">
        <f>LEFT(RIGHT(Table1[[#This Row],[Item]],6),1)</f>
        <v>N</v>
      </c>
      <c r="K182" s="1" t="str">
        <f t="shared" si="2"/>
        <v>N</v>
      </c>
      <c r="L182" s="1" t="str">
        <f>RIGHT(Table1[[#This Row],[Item]],2)</f>
        <v>CA</v>
      </c>
      <c r="M182" s="1" t="s">
        <v>33</v>
      </c>
      <c r="N182" s="3" t="s">
        <v>200</v>
      </c>
      <c r="O182" s="1"/>
    </row>
    <row r="183" spans="1:15">
      <c r="A183" t="s">
        <v>201</v>
      </c>
      <c r="B183" s="1" t="str">
        <f>LEFT(Table1[[#This Row],[Item]], FIND("-", Table1[[#This Row],[Item]]) - 1)</f>
        <v>GX08</v>
      </c>
      <c r="C183" s="1" t="str">
        <f>MID(LEFT(Table1[[#This Row],[Item]], FIND("{token}", SUBSTITUTE(Table1[[#This Row],[Item]], "-", "{token}", 2)) - 1), FIND("-", Table1[[#This Row],[Item]]) + 1, LEN(Table1[[#This Row],[Item]]))</f>
        <v>L</v>
      </c>
      <c r="D183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18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83" s="1" cm="1">
        <f t="array" ref="F183">VALUE(INDEX(_xlfn.TEXTSPLIT(Table1[[#This Row],[Item]], "-"), 5))</f>
        <v>1</v>
      </c>
      <c r="G183" s="1" cm="1">
        <f t="array" ref="G183">VALUE(INDEX(_xlfn.TEXTSPLIT(Table1[[#This Row],[Item]], "-"), 6))</f>
        <v>1</v>
      </c>
      <c r="H183" s="1" cm="1">
        <f t="array" ref="H183">VALUE(INDEX(_xlfn.TEXTSPLIT(Table1[[#This Row],[Item]], "-"), 7))</f>
        <v>0</v>
      </c>
      <c r="I18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83" s="1" t="str">
        <f>LEFT(RIGHT(Table1[[#This Row],[Item]],6),1)</f>
        <v>N</v>
      </c>
      <c r="K183" s="1" t="str">
        <f t="shared" si="2"/>
        <v>N</v>
      </c>
      <c r="L183" s="1" t="str">
        <f>RIGHT(Table1[[#This Row],[Item]],2)</f>
        <v>CA</v>
      </c>
      <c r="M183" s="1" t="s">
        <v>16</v>
      </c>
      <c r="N183" t="s">
        <v>201</v>
      </c>
      <c r="O183" s="1"/>
    </row>
    <row r="184" spans="1:15">
      <c r="A184" t="s">
        <v>202</v>
      </c>
      <c r="B184" s="1" t="str">
        <f>LEFT(Table1[[#This Row],[Item]], FIND("-", Table1[[#This Row],[Item]]) - 1)</f>
        <v>GX08</v>
      </c>
      <c r="C184" s="1" t="str">
        <f>MID(LEFT(Table1[[#This Row],[Item]], FIND("{token}", SUBSTITUTE(Table1[[#This Row],[Item]], "-", "{token}", 2)) - 1), FIND("-", Table1[[#This Row],[Item]]) + 1, LEN(Table1[[#This Row],[Item]]))</f>
        <v>LXL</v>
      </c>
      <c r="D18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8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84" s="1" cm="1">
        <f t="array" ref="F184">VALUE(INDEX(_xlfn.TEXTSPLIT(Table1[[#This Row],[Item]], "-"), 5))</f>
        <v>1</v>
      </c>
      <c r="G184" s="1" cm="1">
        <f t="array" ref="G184">VALUE(INDEX(_xlfn.TEXTSPLIT(Table1[[#This Row],[Item]], "-"), 6))</f>
        <v>1</v>
      </c>
      <c r="H184" s="1" cm="1">
        <f t="array" ref="H184">VALUE(INDEX(_xlfn.TEXTSPLIT(Table1[[#This Row],[Item]], "-"), 7))</f>
        <v>0</v>
      </c>
      <c r="I18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84" s="1" t="str">
        <f>LEFT(RIGHT(Table1[[#This Row],[Item]],6),1)</f>
        <v>N</v>
      </c>
      <c r="K184" s="1" t="str">
        <f t="shared" si="2"/>
        <v>N</v>
      </c>
      <c r="L184" s="1" t="str">
        <f>RIGHT(Table1[[#This Row],[Item]],2)</f>
        <v>CA</v>
      </c>
      <c r="M184" s="1" t="s">
        <v>33</v>
      </c>
      <c r="N184" t="s">
        <v>202</v>
      </c>
      <c r="O184" s="1"/>
    </row>
    <row r="185" spans="1:15">
      <c r="A185" t="s">
        <v>203</v>
      </c>
      <c r="B185" s="1" t="str">
        <f>LEFT(Table1[[#This Row],[Item]], FIND("-", Table1[[#This Row],[Item]]) - 1)</f>
        <v>GX14</v>
      </c>
      <c r="C185" s="1" t="str">
        <f>MID(LEFT(Table1[[#This Row],[Item]], FIND("{token}", SUBSTITUTE(Table1[[#This Row],[Item]], "-", "{token}", 2)) - 1), FIND("-", Table1[[#This Row],[Item]]) + 1, LEN(Table1[[#This Row],[Item]]))</f>
        <v>C</v>
      </c>
      <c r="D18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8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85" s="1" cm="1">
        <f t="array" ref="F185">VALUE(INDEX(_xlfn.TEXTSPLIT(Table1[[#This Row],[Item]], "-"), 5))</f>
        <v>1</v>
      </c>
      <c r="G185" s="1" cm="1">
        <f t="array" ref="G185">VALUE(INDEX(_xlfn.TEXTSPLIT(Table1[[#This Row],[Item]], "-"), 6))</f>
        <v>1</v>
      </c>
      <c r="H185" s="1" cm="1">
        <f t="array" ref="H185">VALUE(INDEX(_xlfn.TEXTSPLIT(Table1[[#This Row],[Item]], "-"), 7))</f>
        <v>0</v>
      </c>
      <c r="I18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85" s="1" t="str">
        <f>LEFT(RIGHT(Table1[[#This Row],[Item]],6),1)</f>
        <v>N</v>
      </c>
      <c r="K185" s="1" t="str">
        <f t="shared" si="2"/>
        <v>N</v>
      </c>
      <c r="L185" s="1" t="str">
        <f>RIGHT(Table1[[#This Row],[Item]],2)</f>
        <v>CA</v>
      </c>
      <c r="M185" s="1" t="s">
        <v>33</v>
      </c>
      <c r="N185" t="s">
        <v>203</v>
      </c>
      <c r="O185" s="1"/>
    </row>
    <row r="186" spans="1:15">
      <c r="A186" t="s">
        <v>204</v>
      </c>
      <c r="B186" s="1" t="str">
        <f>LEFT(Table1[[#This Row],[Item]], FIND("-", Table1[[#This Row],[Item]]) - 1)</f>
        <v>GX09</v>
      </c>
      <c r="C186" s="1" t="str">
        <f>MID(LEFT(Table1[[#This Row],[Item]], FIND("{token}", SUBSTITUTE(Table1[[#This Row],[Item]], "-", "{token}", 2)) - 1), FIND("-", Table1[[#This Row],[Item]]) + 1, LEN(Table1[[#This Row],[Item]]))</f>
        <v>R</v>
      </c>
      <c r="D186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18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86" s="1" cm="1">
        <f t="array" ref="F186">VALUE(INDEX(_xlfn.TEXTSPLIT(Table1[[#This Row],[Item]], "-"), 5))</f>
        <v>1</v>
      </c>
      <c r="G186" s="1" cm="1">
        <f t="array" ref="G186">VALUE(INDEX(_xlfn.TEXTSPLIT(Table1[[#This Row],[Item]], "-"), 6))</f>
        <v>2</v>
      </c>
      <c r="H186" s="1" cm="1">
        <f t="array" ref="H186">VALUE(INDEX(_xlfn.TEXTSPLIT(Table1[[#This Row],[Item]], "-"), 7))</f>
        <v>0</v>
      </c>
      <c r="I18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86" s="1" t="str">
        <f>LEFT(RIGHT(Table1[[#This Row],[Item]],6),1)</f>
        <v>N</v>
      </c>
      <c r="K186" s="1" t="str">
        <f t="shared" si="2"/>
        <v>N</v>
      </c>
      <c r="L186" s="1" t="str">
        <f>RIGHT(Table1[[#This Row],[Item]],2)</f>
        <v>CA</v>
      </c>
      <c r="M186" s="1" t="s">
        <v>33</v>
      </c>
      <c r="N186" t="s">
        <v>204</v>
      </c>
      <c r="O186" s="1"/>
    </row>
    <row r="187" spans="1:15">
      <c r="A187" t="s">
        <v>205</v>
      </c>
      <c r="B187" s="1" t="str">
        <f>LEFT(Table1[[#This Row],[Item]], FIND("-", Table1[[#This Row],[Item]]) - 1)</f>
        <v>STC8</v>
      </c>
      <c r="C187" s="1" t="str">
        <f>MID(LEFT(Table1[[#This Row],[Item]], FIND("{token}", SUBSTITUTE(Table1[[#This Row],[Item]], "-", "{token}", 2)) - 1), FIND("-", Table1[[#This Row],[Item]]) + 1, LEN(Table1[[#This Row],[Item]]))</f>
        <v>N</v>
      </c>
      <c r="D18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8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87" s="1" cm="1">
        <f t="array" ref="F187">VALUE(INDEX(_xlfn.TEXTSPLIT(Table1[[#This Row],[Item]], "-"), 5))</f>
        <v>1</v>
      </c>
      <c r="G187" s="1" cm="1">
        <f t="array" ref="G187">VALUE(INDEX(_xlfn.TEXTSPLIT(Table1[[#This Row],[Item]], "-"), 6))</f>
        <v>0</v>
      </c>
      <c r="H187" s="1" cm="1">
        <f t="array" ref="H187">VALUE(INDEX(_xlfn.TEXTSPLIT(Table1[[#This Row],[Item]], "-"), 7))</f>
        <v>0</v>
      </c>
      <c r="I187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87" s="1" t="str">
        <f>LEFT(RIGHT(Table1[[#This Row],[Item]],6),1)</f>
        <v>Y</v>
      </c>
      <c r="K187" s="1" t="str">
        <f t="shared" si="2"/>
        <v>N</v>
      </c>
      <c r="L187" s="1" t="str">
        <f>RIGHT(Table1[[#This Row],[Item]],2)</f>
        <v>CA</v>
      </c>
      <c r="M187" s="1" t="s">
        <v>16</v>
      </c>
      <c r="N187" t="s">
        <v>205</v>
      </c>
      <c r="O187" s="1"/>
    </row>
    <row r="188" spans="1:15">
      <c r="A188" t="s">
        <v>206</v>
      </c>
      <c r="B188" s="1" t="str">
        <f>LEFT(Table1[[#This Row],[Item]], FIND("-", Table1[[#This Row],[Item]]) - 1)</f>
        <v>GX06</v>
      </c>
      <c r="C188" s="1" t="str">
        <f>MID(LEFT(Table1[[#This Row],[Item]], FIND("{token}", SUBSTITUTE(Table1[[#This Row],[Item]], "-", "{token}", 2)) - 1), FIND("-", Table1[[#This Row],[Item]]) + 1, LEN(Table1[[#This Row],[Item]]))</f>
        <v>RXL</v>
      </c>
      <c r="D18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8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88" s="1" cm="1">
        <f t="array" ref="F188">VALUE(INDEX(_xlfn.TEXTSPLIT(Table1[[#This Row],[Item]], "-"), 5))</f>
        <v>1</v>
      </c>
      <c r="G188" s="1" cm="1">
        <f t="array" ref="G188">VALUE(INDEX(_xlfn.TEXTSPLIT(Table1[[#This Row],[Item]], "-"), 6))</f>
        <v>0</v>
      </c>
      <c r="H188" s="1" cm="1">
        <f t="array" ref="H188">VALUE(INDEX(_xlfn.TEXTSPLIT(Table1[[#This Row],[Item]], "-"), 7))</f>
        <v>1</v>
      </c>
      <c r="I18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88" s="1" t="str">
        <f>LEFT(RIGHT(Table1[[#This Row],[Item]],6),1)</f>
        <v>N</v>
      </c>
      <c r="K188" s="1" t="str">
        <f t="shared" si="2"/>
        <v>N</v>
      </c>
      <c r="L188" s="1" t="str">
        <f>RIGHT(Table1[[#This Row],[Item]],2)</f>
        <v>CA</v>
      </c>
      <c r="M188" s="1" t="s">
        <v>33</v>
      </c>
      <c r="N188" t="s">
        <v>206</v>
      </c>
      <c r="O188" s="1"/>
    </row>
    <row r="189" spans="1:15">
      <c r="A189" t="s">
        <v>207</v>
      </c>
      <c r="B189" s="1" t="str">
        <f>LEFT(Table1[[#This Row],[Item]], FIND("-", Table1[[#This Row],[Item]]) - 1)</f>
        <v>GX14</v>
      </c>
      <c r="C189" s="1" t="str">
        <f>MID(LEFT(Table1[[#This Row],[Item]], FIND("{token}", SUBSTITUTE(Table1[[#This Row],[Item]], "-", "{token}", 2)) - 1), FIND("-", Table1[[#This Row],[Item]]) + 1, LEN(Table1[[#This Row],[Item]]))</f>
        <v>DXL</v>
      </c>
      <c r="D18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8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89" s="1" cm="1">
        <f t="array" ref="F189">VALUE(INDEX(_xlfn.TEXTSPLIT(Table1[[#This Row],[Item]], "-"), 5))</f>
        <v>2</v>
      </c>
      <c r="G189" s="1" cm="1">
        <f t="array" ref="G189">VALUE(INDEX(_xlfn.TEXTSPLIT(Table1[[#This Row],[Item]], "-"), 6))</f>
        <v>2</v>
      </c>
      <c r="H189" s="1" cm="1">
        <f t="array" ref="H189">VALUE(INDEX(_xlfn.TEXTSPLIT(Table1[[#This Row],[Item]], "-"), 7))</f>
        <v>1</v>
      </c>
      <c r="I18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89" s="1" t="str">
        <f>LEFT(RIGHT(Table1[[#This Row],[Item]],6),1)</f>
        <v>N</v>
      </c>
      <c r="K189" s="1" t="str">
        <f t="shared" si="2"/>
        <v>N</v>
      </c>
      <c r="L189" s="1" t="str">
        <f>RIGHT(Table1[[#This Row],[Item]],2)</f>
        <v>CA</v>
      </c>
      <c r="M189" s="1" t="s">
        <v>33</v>
      </c>
      <c r="N189" t="s">
        <v>207</v>
      </c>
      <c r="O189" s="1"/>
    </row>
    <row r="190" spans="1:15">
      <c r="A190" t="s">
        <v>208</v>
      </c>
      <c r="B190" s="1" t="str">
        <f>LEFT(Table1[[#This Row],[Item]], FIND("-", Table1[[#This Row],[Item]]) - 1)</f>
        <v>MA10</v>
      </c>
      <c r="C190" s="1" t="str">
        <f>MID(LEFT(Table1[[#This Row],[Item]], FIND("{token}", SUBSTITUTE(Table1[[#This Row],[Item]], "-", "{token}", 2)) - 1), FIND("-", Table1[[#This Row],[Item]]) + 1, LEN(Table1[[#This Row],[Item]]))</f>
        <v>N</v>
      </c>
      <c r="D19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9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90" s="1" cm="1">
        <f t="array" ref="F190">VALUE(INDEX(_xlfn.TEXTSPLIT(Table1[[#This Row],[Item]], "-"), 5))</f>
        <v>0</v>
      </c>
      <c r="G190" s="1" cm="1">
        <f t="array" ref="G190">VALUE(INDEX(_xlfn.TEXTSPLIT(Table1[[#This Row],[Item]], "-"), 6))</f>
        <v>0</v>
      </c>
      <c r="H190" s="1" cm="1">
        <f t="array" ref="H190">VALUE(INDEX(_xlfn.TEXTSPLIT(Table1[[#This Row],[Item]], "-"), 7))</f>
        <v>0</v>
      </c>
      <c r="I19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90" s="1" t="str">
        <f>LEFT(RIGHT(Table1[[#This Row],[Item]],6),1)</f>
        <v>N</v>
      </c>
      <c r="K190" s="1" t="str">
        <f t="shared" si="2"/>
        <v>Y</v>
      </c>
      <c r="L190" s="1" t="str">
        <f>RIGHT(Table1[[#This Row],[Item]],2)</f>
        <v>CA</v>
      </c>
      <c r="M190" s="1" t="s">
        <v>33</v>
      </c>
      <c r="N190" t="s">
        <v>208</v>
      </c>
      <c r="O190" s="1"/>
    </row>
    <row r="191" spans="1:15">
      <c r="A191" t="s">
        <v>209</v>
      </c>
      <c r="B191" s="1" t="str">
        <f>LEFT(Table1[[#This Row],[Item]], FIND("-", Table1[[#This Row],[Item]]) - 1)</f>
        <v>GX10</v>
      </c>
      <c r="C191" s="1" t="str">
        <f>MID(LEFT(Table1[[#This Row],[Item]], FIND("{token}", SUBSTITUTE(Table1[[#This Row],[Item]], "-", "{token}", 2)) - 1), FIND("-", Table1[[#This Row],[Item]]) + 1, LEN(Table1[[#This Row],[Item]]))</f>
        <v>R</v>
      </c>
      <c r="D191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19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91" s="1" cm="1">
        <f t="array" ref="F191">VALUE(INDEX(_xlfn.TEXTSPLIT(Table1[[#This Row],[Item]], "-"), 5))</f>
        <v>1</v>
      </c>
      <c r="G191" s="1" cm="1">
        <f t="array" ref="G191">VALUE(INDEX(_xlfn.TEXTSPLIT(Table1[[#This Row],[Item]], "-"), 6))</f>
        <v>2</v>
      </c>
      <c r="H191" s="1" cm="1">
        <f t="array" ref="H191">VALUE(INDEX(_xlfn.TEXTSPLIT(Table1[[#This Row],[Item]], "-"), 7))</f>
        <v>0</v>
      </c>
      <c r="I19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91" s="1" t="str">
        <f>LEFT(RIGHT(Table1[[#This Row],[Item]],6),1)</f>
        <v>N</v>
      </c>
      <c r="K191" s="1" t="str">
        <f t="shared" si="2"/>
        <v>N</v>
      </c>
      <c r="L191" s="1" t="str">
        <f>RIGHT(Table1[[#This Row],[Item]],2)</f>
        <v>CA</v>
      </c>
      <c r="M191" s="1" t="s">
        <v>33</v>
      </c>
      <c r="N191" t="s">
        <v>209</v>
      </c>
      <c r="O191" s="1"/>
    </row>
    <row r="192" spans="1:15">
      <c r="A192" t="s">
        <v>210</v>
      </c>
      <c r="B192" s="1" t="str">
        <f>LEFT(Table1[[#This Row],[Item]], FIND("-", Table1[[#This Row],[Item]]) - 1)</f>
        <v>GX06</v>
      </c>
      <c r="C192" s="1" t="str">
        <f>MID(LEFT(Table1[[#This Row],[Item]], FIND("{token}", SUBSTITUTE(Table1[[#This Row],[Item]], "-", "{token}", 2)) - 1), FIND("-", Table1[[#This Row],[Item]]) + 1, LEN(Table1[[#This Row],[Item]]))</f>
        <v>R</v>
      </c>
      <c r="D19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9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92" s="1" cm="1">
        <f t="array" ref="F192">VALUE(INDEX(_xlfn.TEXTSPLIT(Table1[[#This Row],[Item]], "-"), 5))</f>
        <v>1</v>
      </c>
      <c r="G192" s="1" cm="1">
        <f t="array" ref="G192">VALUE(INDEX(_xlfn.TEXTSPLIT(Table1[[#This Row],[Item]], "-"), 6))</f>
        <v>0</v>
      </c>
      <c r="H192" s="1" cm="1">
        <f t="array" ref="H192">VALUE(INDEX(_xlfn.TEXTSPLIT(Table1[[#This Row],[Item]], "-"), 7))</f>
        <v>1</v>
      </c>
      <c r="I19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92" s="1" t="str">
        <f>LEFT(RIGHT(Table1[[#This Row],[Item]],6),1)</f>
        <v>N</v>
      </c>
      <c r="K192" s="1" t="str">
        <f t="shared" si="2"/>
        <v>N</v>
      </c>
      <c r="L192" s="1" t="str">
        <f>RIGHT(Table1[[#This Row],[Item]],2)</f>
        <v>CA</v>
      </c>
      <c r="M192" s="1" t="s">
        <v>33</v>
      </c>
      <c r="N192" t="s">
        <v>210</v>
      </c>
      <c r="O192" s="1"/>
    </row>
    <row r="193" spans="1:15">
      <c r="A193" t="s">
        <v>211</v>
      </c>
      <c r="B193" s="1" t="str">
        <f>LEFT(Table1[[#This Row],[Item]], FIND("-", Table1[[#This Row],[Item]]) - 1)</f>
        <v>GX09</v>
      </c>
      <c r="C193" s="1" t="str">
        <f>MID(LEFT(Table1[[#This Row],[Item]], FIND("{token}", SUBSTITUTE(Table1[[#This Row],[Item]], "-", "{token}", 2)) - 1), FIND("-", Table1[[#This Row],[Item]]) + 1, LEN(Table1[[#This Row],[Item]]))</f>
        <v>R</v>
      </c>
      <c r="D19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9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93" s="1" cm="1">
        <f t="array" ref="F193">VALUE(INDEX(_xlfn.TEXTSPLIT(Table1[[#This Row],[Item]], "-"), 5))</f>
        <v>0</v>
      </c>
      <c r="G193" s="1" cm="1">
        <f t="array" ref="G193">VALUE(INDEX(_xlfn.TEXTSPLIT(Table1[[#This Row],[Item]], "-"), 6))</f>
        <v>1</v>
      </c>
      <c r="H193" s="1" cm="1">
        <f t="array" ref="H193">VALUE(INDEX(_xlfn.TEXTSPLIT(Table1[[#This Row],[Item]], "-"), 7))</f>
        <v>1</v>
      </c>
      <c r="I19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93" s="1" t="str">
        <f>LEFT(RIGHT(Table1[[#This Row],[Item]],6),1)</f>
        <v>N</v>
      </c>
      <c r="K193" s="1" t="str">
        <f t="shared" si="2"/>
        <v>N</v>
      </c>
      <c r="L193" s="1" t="str">
        <f>RIGHT(Table1[[#This Row],[Item]],2)</f>
        <v>CA</v>
      </c>
      <c r="M193" s="1" t="s">
        <v>33</v>
      </c>
      <c r="N193" t="s">
        <v>211</v>
      </c>
      <c r="O193" s="1"/>
    </row>
    <row r="194" spans="1:15">
      <c r="A194" t="s">
        <v>212</v>
      </c>
      <c r="B194" s="1" t="str">
        <f>LEFT(Table1[[#This Row],[Item]], FIND("-", Table1[[#This Row],[Item]]) - 1)</f>
        <v>GX06</v>
      </c>
      <c r="C194" s="1" t="str">
        <f>MID(LEFT(Table1[[#This Row],[Item]], FIND("{token}", SUBSTITUTE(Table1[[#This Row],[Item]], "-", "{token}", 2)) - 1), FIND("-", Table1[[#This Row],[Item]]) + 1, LEN(Table1[[#This Row],[Item]]))</f>
        <v>R</v>
      </c>
      <c r="D19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9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94" s="1" cm="1">
        <f t="array" ref="F194">VALUE(INDEX(_xlfn.TEXTSPLIT(Table1[[#This Row],[Item]], "-"), 5))</f>
        <v>0</v>
      </c>
      <c r="G194" s="1" cm="1">
        <f t="array" ref="G194">VALUE(INDEX(_xlfn.TEXTSPLIT(Table1[[#This Row],[Item]], "-"), 6))</f>
        <v>1</v>
      </c>
      <c r="H194" s="1" cm="1">
        <f t="array" ref="H194">VALUE(INDEX(_xlfn.TEXTSPLIT(Table1[[#This Row],[Item]], "-"), 7))</f>
        <v>0</v>
      </c>
      <c r="I19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94" s="1" t="str">
        <f>LEFT(RIGHT(Table1[[#This Row],[Item]],6),1)</f>
        <v>N</v>
      </c>
      <c r="K194" s="1" t="str">
        <f t="shared" ref="K194:K257" si="3">MID(A194, LEN(A194)-3, 1)</f>
        <v>N</v>
      </c>
      <c r="L194" s="1" t="str">
        <f>RIGHT(Table1[[#This Row],[Item]],2)</f>
        <v>CA</v>
      </c>
      <c r="M194" s="1" t="s">
        <v>33</v>
      </c>
      <c r="N194" t="s">
        <v>212</v>
      </c>
      <c r="O194" s="1"/>
    </row>
    <row r="195" spans="1:15">
      <c r="A195" t="s">
        <v>213</v>
      </c>
      <c r="B195" s="1" t="str">
        <f>LEFT(Table1[[#This Row],[Item]], FIND("-", Table1[[#This Row],[Item]]) - 1)</f>
        <v>GX10</v>
      </c>
      <c r="C195" s="1" t="str">
        <f>MID(LEFT(Table1[[#This Row],[Item]], FIND("{token}", SUBSTITUTE(Table1[[#This Row],[Item]], "-", "{token}", 2)) - 1), FIND("-", Table1[[#This Row],[Item]]) + 1, LEN(Table1[[#This Row],[Item]]))</f>
        <v>L</v>
      </c>
      <c r="D195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19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95" s="1" cm="1">
        <f t="array" ref="F195">VALUE(INDEX(_xlfn.TEXTSPLIT(Table1[[#This Row],[Item]], "-"), 5))</f>
        <v>1</v>
      </c>
      <c r="G195" s="1" cm="1">
        <f t="array" ref="G195">VALUE(INDEX(_xlfn.TEXTSPLIT(Table1[[#This Row],[Item]], "-"), 6))</f>
        <v>2</v>
      </c>
      <c r="H195" s="1" cm="1">
        <f t="array" ref="H195">VALUE(INDEX(_xlfn.TEXTSPLIT(Table1[[#This Row],[Item]], "-"), 7))</f>
        <v>0</v>
      </c>
      <c r="I19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95" s="1" t="str">
        <f>LEFT(RIGHT(Table1[[#This Row],[Item]],6),1)</f>
        <v>N</v>
      </c>
      <c r="K195" s="1" t="str">
        <f t="shared" si="3"/>
        <v>N</v>
      </c>
      <c r="L195" s="1" t="str">
        <f>RIGHT(Table1[[#This Row],[Item]],2)</f>
        <v>CA</v>
      </c>
      <c r="M195" s="1" t="s">
        <v>33</v>
      </c>
      <c r="N195" t="s">
        <v>213</v>
      </c>
      <c r="O195" s="1"/>
    </row>
    <row r="196" spans="1:15">
      <c r="A196" t="s">
        <v>214</v>
      </c>
      <c r="B196" s="1" t="str">
        <f>LEFT(Table1[[#This Row],[Item]], FIND("-", Table1[[#This Row],[Item]]) - 1)</f>
        <v>GX10</v>
      </c>
      <c r="C196" s="1" t="str">
        <f>MID(LEFT(Table1[[#This Row],[Item]], FIND("{token}", SUBSTITUTE(Table1[[#This Row],[Item]], "-", "{token}", 2)) - 1), FIND("-", Table1[[#This Row],[Item]]) + 1, LEN(Table1[[#This Row],[Item]]))</f>
        <v>R</v>
      </c>
      <c r="D19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9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96" s="1" cm="1">
        <f t="array" ref="F196">VALUE(INDEX(_xlfn.TEXTSPLIT(Table1[[#This Row],[Item]], "-"), 5))</f>
        <v>1</v>
      </c>
      <c r="G196" s="1" cm="1">
        <f t="array" ref="G196">VALUE(INDEX(_xlfn.TEXTSPLIT(Table1[[#This Row],[Item]], "-"), 6))</f>
        <v>2</v>
      </c>
      <c r="H196" s="1" cm="1">
        <f t="array" ref="H196">VALUE(INDEX(_xlfn.TEXTSPLIT(Table1[[#This Row],[Item]], "-"), 7))</f>
        <v>0</v>
      </c>
      <c r="I19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96" s="1" t="str">
        <f>LEFT(RIGHT(Table1[[#This Row],[Item]],6),1)</f>
        <v>N</v>
      </c>
      <c r="K196" s="1" t="str">
        <f t="shared" si="3"/>
        <v>N</v>
      </c>
      <c r="L196" s="1" t="str">
        <f>RIGHT(Table1[[#This Row],[Item]],2)</f>
        <v>CA</v>
      </c>
      <c r="M196" s="1" t="s">
        <v>33</v>
      </c>
      <c r="N196" t="s">
        <v>214</v>
      </c>
      <c r="O196" s="1"/>
    </row>
    <row r="197" spans="1:15">
      <c r="A197" t="s">
        <v>215</v>
      </c>
      <c r="B197" s="1" t="str">
        <f>LEFT(Table1[[#This Row],[Item]], FIND("-", Table1[[#This Row],[Item]]) - 1)</f>
        <v>GX10</v>
      </c>
      <c r="C197" s="1" t="str">
        <f>MID(LEFT(Table1[[#This Row],[Item]], FIND("{token}", SUBSTITUTE(Table1[[#This Row],[Item]], "-", "{token}", 2)) - 1), FIND("-", Table1[[#This Row],[Item]]) + 1, LEN(Table1[[#This Row],[Item]]))</f>
        <v>CXL</v>
      </c>
      <c r="D19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9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97" s="1" cm="1">
        <f t="array" ref="F197">VALUE(INDEX(_xlfn.TEXTSPLIT(Table1[[#This Row],[Item]], "-"), 5))</f>
        <v>1</v>
      </c>
      <c r="G197" s="1" cm="1">
        <f t="array" ref="G197">VALUE(INDEX(_xlfn.TEXTSPLIT(Table1[[#This Row],[Item]], "-"), 6))</f>
        <v>1</v>
      </c>
      <c r="H197" s="1" cm="1">
        <f t="array" ref="H197">VALUE(INDEX(_xlfn.TEXTSPLIT(Table1[[#This Row],[Item]], "-"), 7))</f>
        <v>1</v>
      </c>
      <c r="I19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97" s="1" t="str">
        <f>LEFT(RIGHT(Table1[[#This Row],[Item]],6),1)</f>
        <v>N</v>
      </c>
      <c r="K197" s="1" t="str">
        <f t="shared" si="3"/>
        <v>N</v>
      </c>
      <c r="L197" s="1" t="str">
        <f>RIGHT(Table1[[#This Row],[Item]],2)</f>
        <v>CA</v>
      </c>
      <c r="M197" s="1" t="s">
        <v>33</v>
      </c>
      <c r="N197" t="s">
        <v>215</v>
      </c>
      <c r="O197" s="1"/>
    </row>
    <row r="198" spans="1:15">
      <c r="A198" t="s">
        <v>216</v>
      </c>
      <c r="B198" s="1" t="str">
        <f>LEFT(Table1[[#This Row],[Item]], FIND("-", Table1[[#This Row],[Item]]) - 1)</f>
        <v>GX08</v>
      </c>
      <c r="C198" s="1" t="str">
        <f>MID(LEFT(Table1[[#This Row],[Item]], FIND("{token}", SUBSTITUTE(Table1[[#This Row],[Item]], "-", "{token}", 2)) - 1), FIND("-", Table1[[#This Row],[Item]]) + 1, LEN(Table1[[#This Row],[Item]]))</f>
        <v>L</v>
      </c>
      <c r="D19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9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98" s="1" cm="1">
        <f t="array" ref="F198">VALUE(INDEX(_xlfn.TEXTSPLIT(Table1[[#This Row],[Item]], "-"), 5))</f>
        <v>0</v>
      </c>
      <c r="G198" s="1" cm="1">
        <f t="array" ref="G198">VALUE(INDEX(_xlfn.TEXTSPLIT(Table1[[#This Row],[Item]], "-"), 6))</f>
        <v>0</v>
      </c>
      <c r="H198" s="1" cm="1">
        <f t="array" ref="H198">VALUE(INDEX(_xlfn.TEXTSPLIT(Table1[[#This Row],[Item]], "-"), 7))</f>
        <v>0</v>
      </c>
      <c r="I19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98" s="1" t="str">
        <f>LEFT(RIGHT(Table1[[#This Row],[Item]],6),1)</f>
        <v>N</v>
      </c>
      <c r="K198" s="1" t="str">
        <f t="shared" si="3"/>
        <v>N</v>
      </c>
      <c r="L198" s="1" t="str">
        <f>RIGHT(Table1[[#This Row],[Item]],2)</f>
        <v>CA</v>
      </c>
      <c r="M198" s="1" t="s">
        <v>33</v>
      </c>
      <c r="N198" t="s">
        <v>216</v>
      </c>
      <c r="O198" s="1"/>
    </row>
    <row r="199" spans="1:15">
      <c r="A199" t="s">
        <v>217</v>
      </c>
      <c r="B199" s="1" t="str">
        <f>LEFT(Table1[[#This Row],[Item]], FIND("-", Table1[[#This Row],[Item]]) - 1)</f>
        <v>GX12</v>
      </c>
      <c r="C199" s="1" t="str">
        <f>MID(LEFT(Table1[[#This Row],[Item]], FIND("{token}", SUBSTITUTE(Table1[[#This Row],[Item]], "-", "{token}", 2)) - 1), FIND("-", Table1[[#This Row],[Item]]) + 1, LEN(Table1[[#This Row],[Item]]))</f>
        <v>D</v>
      </c>
      <c r="D19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9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99" s="1" cm="1">
        <f t="array" ref="F199">VALUE(INDEX(_xlfn.TEXTSPLIT(Table1[[#This Row],[Item]], "-"), 5))</f>
        <v>0</v>
      </c>
      <c r="G199" s="1" cm="1">
        <f t="array" ref="G199">VALUE(INDEX(_xlfn.TEXTSPLIT(Table1[[#This Row],[Item]], "-"), 6))</f>
        <v>2</v>
      </c>
      <c r="H199" s="1" cm="1">
        <f t="array" ref="H199">VALUE(INDEX(_xlfn.TEXTSPLIT(Table1[[#This Row],[Item]], "-"), 7))</f>
        <v>1</v>
      </c>
      <c r="I19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99" s="1" t="str">
        <f>LEFT(RIGHT(Table1[[#This Row],[Item]],6),1)</f>
        <v>N</v>
      </c>
      <c r="K199" s="1" t="str">
        <f t="shared" si="3"/>
        <v>N</v>
      </c>
      <c r="L199" s="1" t="str">
        <f>RIGHT(Table1[[#This Row],[Item]],2)</f>
        <v>CA</v>
      </c>
      <c r="M199" s="1" t="s">
        <v>33</v>
      </c>
      <c r="N199" t="s">
        <v>217</v>
      </c>
      <c r="O199" s="1"/>
    </row>
    <row r="200" spans="1:15">
      <c r="A200" t="s">
        <v>218</v>
      </c>
      <c r="B200" s="1" t="str">
        <f>LEFT(Table1[[#This Row],[Item]], FIND("-", Table1[[#This Row],[Item]]) - 1)</f>
        <v>GX12</v>
      </c>
      <c r="C200" s="1" t="str">
        <f>MID(LEFT(Table1[[#This Row],[Item]], FIND("{token}", SUBSTITUTE(Table1[[#This Row],[Item]], "-", "{token}", 2)) - 1), FIND("-", Table1[[#This Row],[Item]]) + 1, LEN(Table1[[#This Row],[Item]]))</f>
        <v>CXL</v>
      </c>
      <c r="D20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0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00" s="1" cm="1">
        <f t="array" ref="F200">VALUE(INDEX(_xlfn.TEXTSPLIT(Table1[[#This Row],[Item]], "-"), 5))</f>
        <v>1</v>
      </c>
      <c r="G200" s="1" cm="1">
        <f t="array" ref="G200">VALUE(INDEX(_xlfn.TEXTSPLIT(Table1[[#This Row],[Item]], "-"), 6))</f>
        <v>2</v>
      </c>
      <c r="H200" s="1" cm="1">
        <f t="array" ref="H200">VALUE(INDEX(_xlfn.TEXTSPLIT(Table1[[#This Row],[Item]], "-"), 7))</f>
        <v>0</v>
      </c>
      <c r="I20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00" s="1" t="str">
        <f>LEFT(RIGHT(Table1[[#This Row],[Item]],6),1)</f>
        <v>N</v>
      </c>
      <c r="K200" s="1" t="str">
        <f t="shared" si="3"/>
        <v>N</v>
      </c>
      <c r="L200" s="1" t="str">
        <f>RIGHT(Table1[[#This Row],[Item]],2)</f>
        <v>CA</v>
      </c>
      <c r="M200" s="1" t="s">
        <v>33</v>
      </c>
      <c r="N200" t="s">
        <v>218</v>
      </c>
      <c r="O200" s="1"/>
    </row>
    <row r="201" spans="1:15">
      <c r="A201" t="s">
        <v>219</v>
      </c>
      <c r="B201" s="1" t="str">
        <f>LEFT(Table1[[#This Row],[Item]], FIND("-", Table1[[#This Row],[Item]]) - 1)</f>
        <v>GX14</v>
      </c>
      <c r="C201" s="1" t="str">
        <f>MID(LEFT(Table1[[#This Row],[Item]], FIND("{token}", SUBSTITUTE(Table1[[#This Row],[Item]], "-", "{token}", 2)) - 1), FIND("-", Table1[[#This Row],[Item]]) + 1, LEN(Table1[[#This Row],[Item]]))</f>
        <v>D</v>
      </c>
      <c r="D20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0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01" s="1" cm="1">
        <f t="array" ref="F201">VALUE(INDEX(_xlfn.TEXTSPLIT(Table1[[#This Row],[Item]], "-"), 5))</f>
        <v>2</v>
      </c>
      <c r="G201" s="1" cm="1">
        <f t="array" ref="G201">VALUE(INDEX(_xlfn.TEXTSPLIT(Table1[[#This Row],[Item]], "-"), 6))</f>
        <v>1</v>
      </c>
      <c r="H201" s="1" cm="1">
        <f t="array" ref="H201">VALUE(INDEX(_xlfn.TEXTSPLIT(Table1[[#This Row],[Item]], "-"), 7))</f>
        <v>1</v>
      </c>
      <c r="I20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01" s="1" t="str">
        <f>LEFT(RIGHT(Table1[[#This Row],[Item]],6),1)</f>
        <v>N</v>
      </c>
      <c r="K201" s="1" t="str">
        <f t="shared" si="3"/>
        <v>N</v>
      </c>
      <c r="L201" s="1" t="str">
        <f>RIGHT(Table1[[#This Row],[Item]],2)</f>
        <v>CA</v>
      </c>
      <c r="M201" s="1" t="s">
        <v>33</v>
      </c>
      <c r="N201" t="s">
        <v>219</v>
      </c>
      <c r="O201" s="1"/>
    </row>
    <row r="202" spans="1:15">
      <c r="A202" t="s">
        <v>220</v>
      </c>
      <c r="B202" s="1" t="str">
        <f>LEFT(Table1[[#This Row],[Item]], FIND("-", Table1[[#This Row],[Item]]) - 1)</f>
        <v>GX10</v>
      </c>
      <c r="C202" s="1" t="str">
        <f>MID(LEFT(Table1[[#This Row],[Item]], FIND("{token}", SUBSTITUTE(Table1[[#This Row],[Item]], "-", "{token}", 2)) - 1), FIND("-", Table1[[#This Row],[Item]]) + 1, LEN(Table1[[#This Row],[Item]]))</f>
        <v>CXL</v>
      </c>
      <c r="D202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20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202" s="1" cm="1">
        <f t="array" ref="F202">VALUE(INDEX(_xlfn.TEXTSPLIT(Table1[[#This Row],[Item]], "-"), 5))</f>
        <v>1</v>
      </c>
      <c r="G202" s="1" cm="1">
        <f t="array" ref="G202">VALUE(INDEX(_xlfn.TEXTSPLIT(Table1[[#This Row],[Item]], "-"), 6))</f>
        <v>1</v>
      </c>
      <c r="H202" s="1" cm="1">
        <f t="array" ref="H202">VALUE(INDEX(_xlfn.TEXTSPLIT(Table1[[#This Row],[Item]], "-"), 7))</f>
        <v>1</v>
      </c>
      <c r="I20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02" s="1" t="str">
        <f>LEFT(RIGHT(Table1[[#This Row],[Item]],6),1)</f>
        <v>N</v>
      </c>
      <c r="K202" s="1" t="str">
        <f t="shared" si="3"/>
        <v>N</v>
      </c>
      <c r="L202" s="1" t="str">
        <f>RIGHT(Table1[[#This Row],[Item]],2)</f>
        <v>CA</v>
      </c>
      <c r="M202" s="1" t="s">
        <v>33</v>
      </c>
      <c r="N202" t="s">
        <v>220</v>
      </c>
      <c r="O202" s="1"/>
    </row>
    <row r="203" spans="1:15">
      <c r="A203" t="s">
        <v>221</v>
      </c>
      <c r="B203" s="1" t="str">
        <f>LEFT(Table1[[#This Row],[Item]], FIND("-", Table1[[#This Row],[Item]]) - 1)</f>
        <v>ARB8</v>
      </c>
      <c r="C203" s="1" t="str">
        <f>MID(LEFT(Table1[[#This Row],[Item]], FIND("{token}", SUBSTITUTE(Table1[[#This Row],[Item]], "-", "{token}", 2)) - 1), FIND("-", Table1[[#This Row],[Item]]) + 1, LEN(Table1[[#This Row],[Item]]))</f>
        <v>L</v>
      </c>
      <c r="D20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0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03" s="1" cm="1">
        <f t="array" ref="F203">VALUE(INDEX(_xlfn.TEXTSPLIT(Table1[[#This Row],[Item]], "-"), 5))</f>
        <v>1</v>
      </c>
      <c r="G203" s="1" cm="1">
        <f t="array" ref="G203">VALUE(INDEX(_xlfn.TEXTSPLIT(Table1[[#This Row],[Item]], "-"), 6))</f>
        <v>0</v>
      </c>
      <c r="H203" s="1" cm="1">
        <f t="array" ref="H203">VALUE(INDEX(_xlfn.TEXTSPLIT(Table1[[#This Row],[Item]], "-"), 7))</f>
        <v>0</v>
      </c>
      <c r="I20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03" s="1" t="str">
        <f>LEFT(RIGHT(Table1[[#This Row],[Item]],6),1)</f>
        <v>Y</v>
      </c>
      <c r="K203" s="1" t="str">
        <f t="shared" si="3"/>
        <v>N</v>
      </c>
      <c r="L203" s="1" t="str">
        <f>RIGHT(Table1[[#This Row],[Item]],2)</f>
        <v>CA</v>
      </c>
      <c r="M203" s="1" t="s">
        <v>33</v>
      </c>
      <c r="N203" t="s">
        <v>221</v>
      </c>
      <c r="O203" s="1"/>
    </row>
    <row r="204" spans="1:15">
      <c r="A204" t="s">
        <v>222</v>
      </c>
      <c r="B204" s="1" t="str">
        <f>LEFT(Table1[[#This Row],[Item]], FIND("-", Table1[[#This Row],[Item]]) - 1)</f>
        <v>GX09</v>
      </c>
      <c r="C204" s="1" t="str">
        <f>MID(LEFT(Table1[[#This Row],[Item]], FIND("{token}", SUBSTITUTE(Table1[[#This Row],[Item]], "-", "{token}", 2)) - 1), FIND("-", Table1[[#This Row],[Item]]) + 1, LEN(Table1[[#This Row],[Item]]))</f>
        <v>RXL</v>
      </c>
      <c r="D204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20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04" s="1" cm="1">
        <f t="array" ref="F204">VALUE(INDEX(_xlfn.TEXTSPLIT(Table1[[#This Row],[Item]], "-"), 5))</f>
        <v>1</v>
      </c>
      <c r="G204" s="1" cm="1">
        <f t="array" ref="G204">VALUE(INDEX(_xlfn.TEXTSPLIT(Table1[[#This Row],[Item]], "-"), 6))</f>
        <v>1</v>
      </c>
      <c r="H204" s="1" cm="1">
        <f t="array" ref="H204">VALUE(INDEX(_xlfn.TEXTSPLIT(Table1[[#This Row],[Item]], "-"), 7))</f>
        <v>0</v>
      </c>
      <c r="I20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04" s="1" t="str">
        <f>LEFT(RIGHT(Table1[[#This Row],[Item]],6),1)</f>
        <v>N</v>
      </c>
      <c r="K204" s="1" t="str">
        <f t="shared" si="3"/>
        <v>N</v>
      </c>
      <c r="L204" s="1" t="str">
        <f>RIGHT(Table1[[#This Row],[Item]],2)</f>
        <v>CA</v>
      </c>
      <c r="M204" s="1" t="s">
        <v>33</v>
      </c>
      <c r="N204" t="s">
        <v>222</v>
      </c>
      <c r="O204" s="1"/>
    </row>
    <row r="205" spans="1:15">
      <c r="A205" t="s">
        <v>223</v>
      </c>
      <c r="B205" s="1" t="str">
        <f>LEFT(Table1[[#This Row],[Item]], FIND("-", Table1[[#This Row],[Item]]) - 1)</f>
        <v>GX12</v>
      </c>
      <c r="C205" s="1" t="str">
        <f>MID(LEFT(Table1[[#This Row],[Item]], FIND("{token}", SUBSTITUTE(Table1[[#This Row],[Item]], "-", "{token}", 2)) - 1), FIND("-", Table1[[#This Row],[Item]]) + 1, LEN(Table1[[#This Row],[Item]]))</f>
        <v>CXL</v>
      </c>
      <c r="D205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20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205" s="1">
        <v>2</v>
      </c>
      <c r="G205" s="1">
        <v>2</v>
      </c>
      <c r="H205" s="1" cm="1">
        <f t="array" ref="H205">VALUE(INDEX(_xlfn.TEXTSPLIT(Table1[[#This Row],[Item]], "-"), 7))</f>
        <v>1</v>
      </c>
      <c r="I20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05" s="1" t="str">
        <f>LEFT(RIGHT(Table1[[#This Row],[Item]],6),1)</f>
        <v>N</v>
      </c>
      <c r="K205" s="1" t="str">
        <f t="shared" si="3"/>
        <v>N</v>
      </c>
      <c r="L205" s="1" t="str">
        <f>RIGHT(Table1[[#This Row],[Item]],2)</f>
        <v>CA</v>
      </c>
      <c r="M205" s="1" t="s">
        <v>33</v>
      </c>
      <c r="N205" t="s">
        <v>223</v>
      </c>
      <c r="O205" s="1"/>
    </row>
    <row r="206" spans="1:15">
      <c r="A206" t="s">
        <v>224</v>
      </c>
      <c r="B206" s="1" t="str">
        <f>LEFT(Table1[[#This Row],[Item]], FIND("-", Table1[[#This Row],[Item]]) - 1)</f>
        <v>ARB6</v>
      </c>
      <c r="C206" s="1" t="str">
        <f>MID(LEFT(Table1[[#This Row],[Item]], FIND("{token}", SUBSTITUTE(Table1[[#This Row],[Item]], "-", "{token}", 2)) - 1), FIND("-", Table1[[#This Row],[Item]]) + 1, LEN(Table1[[#This Row],[Item]]))</f>
        <v>L</v>
      </c>
      <c r="D20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0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06" s="1" cm="1">
        <f t="array" ref="F206">VALUE(INDEX(_xlfn.TEXTSPLIT(Table1[[#This Row],[Item]], "-"), 5))</f>
        <v>1</v>
      </c>
      <c r="G206" s="1" cm="1">
        <f t="array" ref="G206">VALUE(INDEX(_xlfn.TEXTSPLIT(Table1[[#This Row],[Item]], "-"), 6))</f>
        <v>0</v>
      </c>
      <c r="H206" s="1" cm="1">
        <f t="array" ref="H206">VALUE(INDEX(_xlfn.TEXTSPLIT(Table1[[#This Row],[Item]], "-"), 7))</f>
        <v>0</v>
      </c>
      <c r="I206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06" s="1" t="str">
        <f>LEFT(RIGHT(Table1[[#This Row],[Item]],6),1)</f>
        <v>Y</v>
      </c>
      <c r="K206" s="1" t="str">
        <f t="shared" si="3"/>
        <v>N</v>
      </c>
      <c r="L206" s="1" t="str">
        <f>RIGHT(Table1[[#This Row],[Item]],2)</f>
        <v>CA</v>
      </c>
      <c r="M206" s="1" t="s">
        <v>19</v>
      </c>
      <c r="N206" t="s">
        <v>20</v>
      </c>
      <c r="O206" s="1"/>
    </row>
    <row r="207" spans="1:15">
      <c r="A207" t="s">
        <v>225</v>
      </c>
      <c r="B207" s="1" t="str">
        <f>LEFT(Table1[[#This Row],[Item]], FIND("-", Table1[[#This Row],[Item]]) - 1)</f>
        <v>ARB6</v>
      </c>
      <c r="C207" s="1" t="str">
        <f>MID(LEFT(Table1[[#This Row],[Item]], FIND("{token}", SUBSTITUTE(Table1[[#This Row],[Item]], "-", "{token}", 2)) - 1), FIND("-", Table1[[#This Row],[Item]]) + 1, LEN(Table1[[#This Row],[Item]]))</f>
        <v>L</v>
      </c>
      <c r="D20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0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07" s="1" cm="1">
        <f t="array" ref="F207">VALUE(INDEX(_xlfn.TEXTSPLIT(Table1[[#This Row],[Item]], "-"), 5))</f>
        <v>1</v>
      </c>
      <c r="G207" s="1" cm="1">
        <f t="array" ref="G207">VALUE(INDEX(_xlfn.TEXTSPLIT(Table1[[#This Row],[Item]], "-"), 6))</f>
        <v>0</v>
      </c>
      <c r="H207" s="1" cm="1">
        <f t="array" ref="H207">VALUE(INDEX(_xlfn.TEXTSPLIT(Table1[[#This Row],[Item]], "-"), 7))</f>
        <v>0</v>
      </c>
      <c r="I207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07" s="1" t="str">
        <f>LEFT(RIGHT(Table1[[#This Row],[Item]],6),1)</f>
        <v>Y</v>
      </c>
      <c r="K207" s="1" t="str">
        <f t="shared" si="3"/>
        <v>Y</v>
      </c>
      <c r="L207" s="1" t="str">
        <f>RIGHT(Table1[[#This Row],[Item]],2)</f>
        <v>CA</v>
      </c>
      <c r="M207" s="1" t="s">
        <v>19</v>
      </c>
      <c r="N207" t="s">
        <v>21</v>
      </c>
      <c r="O207" s="1"/>
    </row>
    <row r="208" spans="1:15">
      <c r="A208" t="s">
        <v>226</v>
      </c>
      <c r="B208" s="1" t="str">
        <f>LEFT(Table1[[#This Row],[Item]], FIND("-", Table1[[#This Row],[Item]]) - 1)</f>
        <v>ARB8</v>
      </c>
      <c r="C208" s="1" t="str">
        <f>MID(LEFT(Table1[[#This Row],[Item]], FIND("{token}", SUBSTITUTE(Table1[[#This Row],[Item]], "-", "{token}", 2)) - 1), FIND("-", Table1[[#This Row],[Item]]) + 1, LEN(Table1[[#This Row],[Item]]))</f>
        <v>L</v>
      </c>
      <c r="D208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20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08" s="1" cm="1">
        <f t="array" ref="F208">VALUE(INDEX(_xlfn.TEXTSPLIT(Table1[[#This Row],[Item]], "-"), 5))</f>
        <v>1</v>
      </c>
      <c r="G208" s="1" cm="1">
        <f t="array" ref="G208">VALUE(INDEX(_xlfn.TEXTSPLIT(Table1[[#This Row],[Item]], "-"), 6))</f>
        <v>0</v>
      </c>
      <c r="H208" s="1" cm="1">
        <f t="array" ref="H208">VALUE(INDEX(_xlfn.TEXTSPLIT(Table1[[#This Row],[Item]], "-"), 7))</f>
        <v>0</v>
      </c>
      <c r="I208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08" s="1" t="str">
        <f>LEFT(RIGHT(Table1[[#This Row],[Item]],6),1)</f>
        <v>Y</v>
      </c>
      <c r="K208" s="1" t="str">
        <f t="shared" si="3"/>
        <v>N</v>
      </c>
      <c r="L208" s="1" t="str">
        <f>RIGHT(Table1[[#This Row],[Item]],2)</f>
        <v>CA</v>
      </c>
      <c r="M208" s="1" t="s">
        <v>19</v>
      </c>
      <c r="N208" t="s">
        <v>23</v>
      </c>
      <c r="O208" s="1"/>
    </row>
    <row r="209" spans="1:15">
      <c r="A209" t="s">
        <v>227</v>
      </c>
      <c r="B209" s="1" t="str">
        <f>LEFT(Table1[[#This Row],[Item]], FIND("-", Table1[[#This Row],[Item]]) - 1)</f>
        <v>ARB8</v>
      </c>
      <c r="C209" s="1" t="str">
        <f>MID(LEFT(Table1[[#This Row],[Item]], FIND("{token}", SUBSTITUTE(Table1[[#This Row],[Item]], "-", "{token}", 2)) - 1), FIND("-", Table1[[#This Row],[Item]]) + 1, LEN(Table1[[#This Row],[Item]]))</f>
        <v>L</v>
      </c>
      <c r="D209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20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09" s="1" cm="1">
        <f t="array" ref="F209">VALUE(INDEX(_xlfn.TEXTSPLIT(Table1[[#This Row],[Item]], "-"), 5))</f>
        <v>1</v>
      </c>
      <c r="G209" s="1" cm="1">
        <f t="array" ref="G209">VALUE(INDEX(_xlfn.TEXTSPLIT(Table1[[#This Row],[Item]], "-"), 6))</f>
        <v>0</v>
      </c>
      <c r="H209" s="1" cm="1">
        <f t="array" ref="H209">VALUE(INDEX(_xlfn.TEXTSPLIT(Table1[[#This Row],[Item]], "-"), 7))</f>
        <v>0</v>
      </c>
      <c r="I209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09" s="1" t="str">
        <f>LEFT(RIGHT(Table1[[#This Row],[Item]],6),1)</f>
        <v>Y</v>
      </c>
      <c r="K209" s="1" t="str">
        <f t="shared" si="3"/>
        <v>Y</v>
      </c>
      <c r="L209" s="1" t="str">
        <f>RIGHT(Table1[[#This Row],[Item]],2)</f>
        <v>CA</v>
      </c>
      <c r="M209" s="1" t="s">
        <v>19</v>
      </c>
      <c r="N209" t="s">
        <v>25</v>
      </c>
      <c r="O209" s="1"/>
    </row>
    <row r="210" spans="1:15">
      <c r="A210" t="s">
        <v>228</v>
      </c>
      <c r="B210" s="1" t="str">
        <f>LEFT(Table1[[#This Row],[Item]], FIND("-", Table1[[#This Row],[Item]]) - 1)</f>
        <v>ARB8</v>
      </c>
      <c r="C210" s="1" t="str">
        <f>MID(LEFT(Table1[[#This Row],[Item]], FIND("{token}", SUBSTITUTE(Table1[[#This Row],[Item]], "-", "{token}", 2)) - 1), FIND("-", Table1[[#This Row],[Item]]) + 1, LEN(Table1[[#This Row],[Item]]))</f>
        <v>L</v>
      </c>
      <c r="D210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21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10" s="1" cm="1">
        <f t="array" ref="F210">VALUE(INDEX(_xlfn.TEXTSPLIT(Table1[[#This Row],[Item]], "-"), 5))</f>
        <v>1</v>
      </c>
      <c r="G210" s="1" cm="1">
        <f t="array" ref="G210">VALUE(INDEX(_xlfn.TEXTSPLIT(Table1[[#This Row],[Item]], "-"), 6))</f>
        <v>1</v>
      </c>
      <c r="H210" s="1" cm="1">
        <f t="array" ref="H210">VALUE(INDEX(_xlfn.TEXTSPLIT(Table1[[#This Row],[Item]], "-"), 7))</f>
        <v>0</v>
      </c>
      <c r="I210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10" s="1" t="str">
        <f>LEFT(RIGHT(Table1[[#This Row],[Item]],6),1)</f>
        <v>Y</v>
      </c>
      <c r="K210" s="1" t="str">
        <f t="shared" si="3"/>
        <v>N</v>
      </c>
      <c r="L210" s="1" t="str">
        <f>RIGHT(Table1[[#This Row],[Item]],2)</f>
        <v>CA</v>
      </c>
      <c r="M210" s="1" t="s">
        <v>19</v>
      </c>
      <c r="N210" t="s">
        <v>27</v>
      </c>
      <c r="O210" s="1"/>
    </row>
    <row r="211" spans="1:15">
      <c r="A211" t="s">
        <v>229</v>
      </c>
      <c r="B211" s="1" t="str">
        <f>LEFT(Table1[[#This Row],[Item]], FIND("-", Table1[[#This Row],[Item]]) - 1)</f>
        <v>ARB8</v>
      </c>
      <c r="C211" s="1" t="str">
        <f>MID(LEFT(Table1[[#This Row],[Item]], FIND("{token}", SUBSTITUTE(Table1[[#This Row],[Item]], "-", "{token}", 2)) - 1), FIND("-", Table1[[#This Row],[Item]]) + 1, LEN(Table1[[#This Row],[Item]]))</f>
        <v>L</v>
      </c>
      <c r="D211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21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11" s="1" cm="1">
        <f t="array" ref="F211">VALUE(INDEX(_xlfn.TEXTSPLIT(Table1[[#This Row],[Item]], "-"), 5))</f>
        <v>1</v>
      </c>
      <c r="G211" s="1" cm="1">
        <f t="array" ref="G211">VALUE(INDEX(_xlfn.TEXTSPLIT(Table1[[#This Row],[Item]], "-"), 6))</f>
        <v>1</v>
      </c>
      <c r="H211" s="1" cm="1">
        <f t="array" ref="H211">VALUE(INDEX(_xlfn.TEXTSPLIT(Table1[[#This Row],[Item]], "-"), 7))</f>
        <v>0</v>
      </c>
      <c r="I211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11" s="1" t="str">
        <f>LEFT(RIGHT(Table1[[#This Row],[Item]],6),1)</f>
        <v>Y</v>
      </c>
      <c r="K211" s="1" t="str">
        <f t="shared" si="3"/>
        <v>Y</v>
      </c>
      <c r="L211" s="1" t="str">
        <f>RIGHT(Table1[[#This Row],[Item]],2)</f>
        <v>CA</v>
      </c>
      <c r="M211" s="1" t="s">
        <v>19</v>
      </c>
      <c r="N211" t="s">
        <v>28</v>
      </c>
      <c r="O211" s="1"/>
    </row>
    <row r="212" spans="1:15">
      <c r="A212" t="s">
        <v>230</v>
      </c>
      <c r="B212" s="1" t="str">
        <f>LEFT(Table1[[#This Row],[Item]], FIND("-", Table1[[#This Row],[Item]]) - 1)</f>
        <v>ARB8</v>
      </c>
      <c r="C212" s="1" t="str">
        <f>MID(LEFT(Table1[[#This Row],[Item]], FIND("{token}", SUBSTITUTE(Table1[[#This Row],[Item]], "-", "{token}", 2)) - 1), FIND("-", Table1[[#This Row],[Item]]) + 1, LEN(Table1[[#This Row],[Item]]))</f>
        <v>L</v>
      </c>
      <c r="D21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1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12" s="1" cm="1">
        <f t="array" ref="F212">VALUE(INDEX(_xlfn.TEXTSPLIT(Table1[[#This Row],[Item]], "-"), 5))</f>
        <v>1</v>
      </c>
      <c r="G212" s="1" cm="1">
        <f t="array" ref="G212">VALUE(INDEX(_xlfn.TEXTSPLIT(Table1[[#This Row],[Item]], "-"), 6))</f>
        <v>0</v>
      </c>
      <c r="H212" s="1" cm="1">
        <f t="array" ref="H212">VALUE(INDEX(_xlfn.TEXTSPLIT(Table1[[#This Row],[Item]], "-"), 7))</f>
        <v>0</v>
      </c>
      <c r="I212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12" s="1" t="str">
        <f>LEFT(RIGHT(Table1[[#This Row],[Item]],6),1)</f>
        <v>N</v>
      </c>
      <c r="K212" s="1" t="str">
        <f t="shared" si="3"/>
        <v>Y</v>
      </c>
      <c r="L212" s="1" t="str">
        <f>RIGHT(Table1[[#This Row],[Item]],2)</f>
        <v>CA</v>
      </c>
      <c r="M212" s="1" t="s">
        <v>19</v>
      </c>
      <c r="N212" t="s">
        <v>29</v>
      </c>
      <c r="O212" s="1"/>
    </row>
    <row r="213" spans="1:15">
      <c r="A213" t="s">
        <v>231</v>
      </c>
      <c r="B213" s="1" t="str">
        <f>LEFT(Table1[[#This Row],[Item]], FIND("-", Table1[[#This Row],[Item]]) - 1)</f>
        <v>ARB8</v>
      </c>
      <c r="C213" s="1" t="str">
        <f>MID(LEFT(Table1[[#This Row],[Item]], FIND("{token}", SUBSTITUTE(Table1[[#This Row],[Item]], "-", "{token}", 2)) - 1), FIND("-", Table1[[#This Row],[Item]]) + 1, LEN(Table1[[#This Row],[Item]]))</f>
        <v>L</v>
      </c>
      <c r="D21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1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13" s="1" cm="1">
        <f t="array" ref="F213">VALUE(INDEX(_xlfn.TEXTSPLIT(Table1[[#This Row],[Item]], "-"), 5))</f>
        <v>1</v>
      </c>
      <c r="G213" s="1" cm="1">
        <f t="array" ref="G213">VALUE(INDEX(_xlfn.TEXTSPLIT(Table1[[#This Row],[Item]], "-"), 6))</f>
        <v>0</v>
      </c>
      <c r="H213" s="1" cm="1">
        <f t="array" ref="H213">VALUE(INDEX(_xlfn.TEXTSPLIT(Table1[[#This Row],[Item]], "-"), 7))</f>
        <v>0</v>
      </c>
      <c r="I213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13" s="1" t="str">
        <f>LEFT(RIGHT(Table1[[#This Row],[Item]],6),1)</f>
        <v>Y</v>
      </c>
      <c r="K213" s="1" t="str">
        <f t="shared" si="3"/>
        <v>N</v>
      </c>
      <c r="L213" s="1" t="str">
        <f>RIGHT(Table1[[#This Row],[Item]],2)</f>
        <v>CA</v>
      </c>
      <c r="M213" s="1" t="s">
        <v>19</v>
      </c>
      <c r="N213" t="s">
        <v>24</v>
      </c>
      <c r="O213" s="1"/>
    </row>
    <row r="214" spans="1:15">
      <c r="A214" t="s">
        <v>232</v>
      </c>
      <c r="B214" s="1" t="str">
        <f>LEFT(Table1[[#This Row],[Item]], FIND("-", Table1[[#This Row],[Item]]) - 1)</f>
        <v>ARB8</v>
      </c>
      <c r="C214" s="1" t="str">
        <f>MID(LEFT(Table1[[#This Row],[Item]], FIND("{token}", SUBSTITUTE(Table1[[#This Row],[Item]], "-", "{token}", 2)) - 1), FIND("-", Table1[[#This Row],[Item]]) + 1, LEN(Table1[[#This Row],[Item]]))</f>
        <v>L</v>
      </c>
      <c r="D21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1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14" s="1" cm="1">
        <f t="array" ref="F214">VALUE(INDEX(_xlfn.TEXTSPLIT(Table1[[#This Row],[Item]], "-"), 5))</f>
        <v>1</v>
      </c>
      <c r="G214" s="1" cm="1">
        <f t="array" ref="G214">VALUE(INDEX(_xlfn.TEXTSPLIT(Table1[[#This Row],[Item]], "-"), 6))</f>
        <v>0</v>
      </c>
      <c r="H214" s="1" cm="1">
        <f t="array" ref="H214">VALUE(INDEX(_xlfn.TEXTSPLIT(Table1[[#This Row],[Item]], "-"), 7))</f>
        <v>0</v>
      </c>
      <c r="I214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14" s="1" t="str">
        <f>LEFT(RIGHT(Table1[[#This Row],[Item]],6),1)</f>
        <v>Y</v>
      </c>
      <c r="K214" s="1" t="str">
        <f t="shared" si="3"/>
        <v>Y</v>
      </c>
      <c r="L214" s="1" t="str">
        <f>RIGHT(Table1[[#This Row],[Item]],2)</f>
        <v>CA</v>
      </c>
      <c r="M214" s="1" t="s">
        <v>19</v>
      </c>
      <c r="N214" t="s">
        <v>26</v>
      </c>
      <c r="O214" s="1"/>
    </row>
    <row r="215" spans="1:15">
      <c r="A215" t="s">
        <v>233</v>
      </c>
      <c r="B215" s="1" t="str">
        <f>LEFT(Table1[[#This Row],[Item]], FIND("-", Table1[[#This Row],[Item]]) - 1)</f>
        <v>ARB8</v>
      </c>
      <c r="C215" s="1" t="str">
        <f>MID(LEFT(Table1[[#This Row],[Item]], FIND("{token}", SUBSTITUTE(Table1[[#This Row],[Item]], "-", "{token}", 2)) - 1), FIND("-", Table1[[#This Row],[Item]]) + 1, LEN(Table1[[#This Row],[Item]]))</f>
        <v>L</v>
      </c>
      <c r="D21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1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15" s="1" cm="1">
        <f t="array" ref="F215">VALUE(INDEX(_xlfn.TEXTSPLIT(Table1[[#This Row],[Item]], "-"), 5))</f>
        <v>1</v>
      </c>
      <c r="G215" s="1" cm="1">
        <f t="array" ref="G215">VALUE(INDEX(_xlfn.TEXTSPLIT(Table1[[#This Row],[Item]], "-"), 6))</f>
        <v>1</v>
      </c>
      <c r="H215" s="1" cm="1">
        <f t="array" ref="H215">VALUE(INDEX(_xlfn.TEXTSPLIT(Table1[[#This Row],[Item]], "-"), 7))</f>
        <v>0</v>
      </c>
      <c r="I215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15" s="1" t="str">
        <f>LEFT(RIGHT(Table1[[#This Row],[Item]],6),1)</f>
        <v>Y</v>
      </c>
      <c r="K215" s="1" t="str">
        <f t="shared" si="3"/>
        <v>N</v>
      </c>
      <c r="L215" s="1" t="str">
        <f>RIGHT(Table1[[#This Row],[Item]],2)</f>
        <v>CA</v>
      </c>
      <c r="M215" s="1" t="s">
        <v>19</v>
      </c>
      <c r="N215" t="s">
        <v>30</v>
      </c>
      <c r="O215" s="1"/>
    </row>
    <row r="216" spans="1:15">
      <c r="A216" t="s">
        <v>234</v>
      </c>
      <c r="B216" s="1" t="str">
        <f>LEFT(Table1[[#This Row],[Item]], FIND("-", Table1[[#This Row],[Item]]) - 1)</f>
        <v>ARB8</v>
      </c>
      <c r="C216" s="1" t="str">
        <f>MID(LEFT(Table1[[#This Row],[Item]], FIND("{token}", SUBSTITUTE(Table1[[#This Row],[Item]], "-", "{token}", 2)) - 1), FIND("-", Table1[[#This Row],[Item]]) + 1, LEN(Table1[[#This Row],[Item]]))</f>
        <v>L</v>
      </c>
      <c r="D21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1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16" s="1" cm="1">
        <f t="array" ref="F216">VALUE(INDEX(_xlfn.TEXTSPLIT(Table1[[#This Row],[Item]], "-"), 5))</f>
        <v>1</v>
      </c>
      <c r="G216" s="1" cm="1">
        <f t="array" ref="G216">VALUE(INDEX(_xlfn.TEXTSPLIT(Table1[[#This Row],[Item]], "-"), 6))</f>
        <v>1</v>
      </c>
      <c r="H216" s="1" cm="1">
        <f t="array" ref="H216">VALUE(INDEX(_xlfn.TEXTSPLIT(Table1[[#This Row],[Item]], "-"), 7))</f>
        <v>0</v>
      </c>
      <c r="I216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16" s="1" t="str">
        <f>LEFT(RIGHT(Table1[[#This Row],[Item]],6),1)</f>
        <v>Y</v>
      </c>
      <c r="K216" s="1" t="str">
        <f t="shared" si="3"/>
        <v>Y</v>
      </c>
      <c r="L216" s="1" t="str">
        <f>RIGHT(Table1[[#This Row],[Item]],2)</f>
        <v>CA</v>
      </c>
      <c r="M216" s="1" t="s">
        <v>19</v>
      </c>
      <c r="N216" t="s">
        <v>31</v>
      </c>
      <c r="O216" s="1"/>
    </row>
    <row r="217" spans="1:15">
      <c r="A217" t="s">
        <v>235</v>
      </c>
      <c r="B217" s="1" t="str">
        <f>LEFT(Table1[[#This Row],[Item]], FIND("-", Table1[[#This Row],[Item]]) - 1)</f>
        <v>ARB8</v>
      </c>
      <c r="C217" s="1" t="str">
        <f>MID(LEFT(Table1[[#This Row],[Item]], FIND("{token}", SUBSTITUTE(Table1[[#This Row],[Item]], "-", "{token}", 2)) - 1), FIND("-", Table1[[#This Row],[Item]]) + 1, LEN(Table1[[#This Row],[Item]]))</f>
        <v>LXL</v>
      </c>
      <c r="D21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1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17" s="1" cm="1">
        <f t="array" ref="F217">VALUE(INDEX(_xlfn.TEXTSPLIT(Table1[[#This Row],[Item]], "-"), 5))</f>
        <v>1</v>
      </c>
      <c r="G217" s="1" cm="1">
        <f t="array" ref="G217">VALUE(INDEX(_xlfn.TEXTSPLIT(Table1[[#This Row],[Item]], "-"), 6))</f>
        <v>1</v>
      </c>
      <c r="H217" s="1" cm="1">
        <f t="array" ref="H217">VALUE(INDEX(_xlfn.TEXTSPLIT(Table1[[#This Row],[Item]], "-"), 7))</f>
        <v>0</v>
      </c>
      <c r="I217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17" s="1" t="str">
        <f>LEFT(RIGHT(Table1[[#This Row],[Item]],6),1)</f>
        <v>Y</v>
      </c>
      <c r="K217" s="1" t="str">
        <f t="shared" si="3"/>
        <v>N</v>
      </c>
      <c r="L217" s="1" t="str">
        <f>RIGHT(Table1[[#This Row],[Item]],2)</f>
        <v>CA</v>
      </c>
      <c r="M217" s="1" t="s">
        <v>19</v>
      </c>
      <c r="N217" t="s">
        <v>32</v>
      </c>
      <c r="O217" s="1"/>
    </row>
    <row r="218" spans="1:15">
      <c r="A218" t="s">
        <v>236</v>
      </c>
      <c r="B218" s="1" t="str">
        <f>LEFT(Table1[[#This Row],[Item]], FIND("-", Table1[[#This Row],[Item]]) - 1)</f>
        <v>MA08</v>
      </c>
      <c r="C218" s="1" t="str">
        <f>MID(LEFT(Table1[[#This Row],[Item]], FIND("{token}", SUBSTITUTE(Table1[[#This Row],[Item]], "-", "{token}", 2)) - 1), FIND("-", Table1[[#This Row],[Item]]) + 1, LEN(Table1[[#This Row],[Item]]))</f>
        <v>C</v>
      </c>
      <c r="D21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1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18" s="1" cm="1">
        <f t="array" ref="F218">VALUE(INDEX(_xlfn.TEXTSPLIT(Table1[[#This Row],[Item]], "-"), 5))</f>
        <v>0</v>
      </c>
      <c r="G218" s="1" cm="1">
        <f t="array" ref="G218">VALUE(INDEX(_xlfn.TEXTSPLIT(Table1[[#This Row],[Item]], "-"), 6))</f>
        <v>0</v>
      </c>
      <c r="H218" s="1" cm="1">
        <f t="array" ref="H218">VALUE(INDEX(_xlfn.TEXTSPLIT(Table1[[#This Row],[Item]], "-"), 7))</f>
        <v>0</v>
      </c>
      <c r="I218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18" s="1" t="str">
        <f>LEFT(RIGHT(Table1[[#This Row],[Item]],6),1)</f>
        <v>Y</v>
      </c>
      <c r="K218" s="1" t="str">
        <f t="shared" si="3"/>
        <v>Y</v>
      </c>
      <c r="L218" s="1" t="str">
        <f>RIGHT(Table1[[#This Row],[Item]],2)</f>
        <v>CA</v>
      </c>
      <c r="M218" s="1" t="s">
        <v>19</v>
      </c>
      <c r="N218" t="s">
        <v>152</v>
      </c>
      <c r="O218" s="1"/>
    </row>
    <row r="219" spans="1:15">
      <c r="A219" t="s">
        <v>237</v>
      </c>
      <c r="B219" s="1" t="str">
        <f>LEFT(Table1[[#This Row],[Item]], FIND("-", Table1[[#This Row],[Item]]) - 1)</f>
        <v>MA08</v>
      </c>
      <c r="C219" s="1" t="str">
        <f>MID(LEFT(Table1[[#This Row],[Item]], FIND("{token}", SUBSTITUTE(Table1[[#This Row],[Item]], "-", "{token}", 2)) - 1), FIND("-", Table1[[#This Row],[Item]]) + 1, LEN(Table1[[#This Row],[Item]]))</f>
        <v>N</v>
      </c>
      <c r="D21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1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219" s="1" cm="1">
        <f t="array" ref="F219">VALUE(INDEX(_xlfn.TEXTSPLIT(Table1[[#This Row],[Item]], "-"), 5))</f>
        <v>1</v>
      </c>
      <c r="G219" s="1" cm="1">
        <f t="array" ref="G219">VALUE(INDEX(_xlfn.TEXTSPLIT(Table1[[#This Row],[Item]], "-"), 6))</f>
        <v>0</v>
      </c>
      <c r="H219" s="1" cm="1">
        <f t="array" ref="H219">VALUE(INDEX(_xlfn.TEXTSPLIT(Table1[[#This Row],[Item]], "-"), 7))</f>
        <v>0</v>
      </c>
      <c r="I219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19" s="1" t="str">
        <f>LEFT(RIGHT(Table1[[#This Row],[Item]],6),1)</f>
        <v>Y</v>
      </c>
      <c r="K219" s="1" t="str">
        <f t="shared" si="3"/>
        <v>Y</v>
      </c>
      <c r="L219" s="1" t="str">
        <f>RIGHT(Table1[[#This Row],[Item]],2)</f>
        <v>CA</v>
      </c>
      <c r="M219" s="1" t="s">
        <v>19</v>
      </c>
      <c r="N219" t="s">
        <v>153</v>
      </c>
      <c r="O219" s="1"/>
    </row>
    <row r="220" spans="1:15">
      <c r="A220" t="s">
        <v>238</v>
      </c>
      <c r="B220" s="1" t="str">
        <f>LEFT(Table1[[#This Row],[Item]], FIND("-", Table1[[#This Row],[Item]]) - 1)</f>
        <v>MA10</v>
      </c>
      <c r="C220" s="1" t="str">
        <f>MID(LEFT(Table1[[#This Row],[Item]], FIND("{token}", SUBSTITUTE(Table1[[#This Row],[Item]], "-", "{token}", 2)) - 1), FIND("-", Table1[[#This Row],[Item]]) + 1, LEN(Table1[[#This Row],[Item]]))</f>
        <v>N</v>
      </c>
      <c r="D22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2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220" s="1" cm="1">
        <f t="array" ref="F220">VALUE(INDEX(_xlfn.TEXTSPLIT(Table1[[#This Row],[Item]], "-"), 5))</f>
        <v>2</v>
      </c>
      <c r="G220" s="1" cm="1">
        <f t="array" ref="G220">VALUE(INDEX(_xlfn.TEXTSPLIT(Table1[[#This Row],[Item]], "-"), 6))</f>
        <v>0</v>
      </c>
      <c r="H220" s="1" cm="1">
        <f t="array" ref="H220">VALUE(INDEX(_xlfn.TEXTSPLIT(Table1[[#This Row],[Item]], "-"), 7))</f>
        <v>0</v>
      </c>
      <c r="I220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20" s="1" t="str">
        <f>LEFT(RIGHT(Table1[[#This Row],[Item]],6),1)</f>
        <v>N</v>
      </c>
      <c r="K220" s="1" t="str">
        <f t="shared" si="3"/>
        <v>Y</v>
      </c>
      <c r="L220" s="1" t="str">
        <f>RIGHT(Table1[[#This Row],[Item]],2)</f>
        <v>CA</v>
      </c>
      <c r="M220" s="1" t="s">
        <v>19</v>
      </c>
      <c r="N220" t="s">
        <v>154</v>
      </c>
      <c r="O220" s="1"/>
    </row>
    <row r="221" spans="1:15">
      <c r="A221" t="s">
        <v>239</v>
      </c>
      <c r="B221" s="1" t="str">
        <f>LEFT(Table1[[#This Row],[Item]], FIND("-", Table1[[#This Row],[Item]]) - 1)</f>
        <v>MA10</v>
      </c>
      <c r="C221" s="1" t="str">
        <f>MID(LEFT(Table1[[#This Row],[Item]], FIND("{token}", SUBSTITUTE(Table1[[#This Row],[Item]], "-", "{token}", 2)) - 1), FIND("-", Table1[[#This Row],[Item]]) + 1, LEN(Table1[[#This Row],[Item]]))</f>
        <v>N</v>
      </c>
      <c r="D22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2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221" s="1" cm="1">
        <f t="array" ref="F221">VALUE(INDEX(_xlfn.TEXTSPLIT(Table1[[#This Row],[Item]], "-"), 5))</f>
        <v>2</v>
      </c>
      <c r="G221" s="1" cm="1">
        <f t="array" ref="G221">VALUE(INDEX(_xlfn.TEXTSPLIT(Table1[[#This Row],[Item]], "-"), 6))</f>
        <v>0</v>
      </c>
      <c r="H221" s="1" cm="1">
        <f t="array" ref="H221">VALUE(INDEX(_xlfn.TEXTSPLIT(Table1[[#This Row],[Item]], "-"), 7))</f>
        <v>0</v>
      </c>
      <c r="I221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21" s="1" t="str">
        <f>LEFT(RIGHT(Table1[[#This Row],[Item]],6),1)</f>
        <v>Y</v>
      </c>
      <c r="K221" s="1" t="str">
        <f t="shared" si="3"/>
        <v>Y</v>
      </c>
      <c r="L221" s="1" t="str">
        <f>RIGHT(Table1[[#This Row],[Item]],2)</f>
        <v>CA</v>
      </c>
      <c r="M221" s="1" t="s">
        <v>19</v>
      </c>
      <c r="N221" t="s">
        <v>155</v>
      </c>
      <c r="O221" s="1"/>
    </row>
    <row r="222" spans="1:15">
      <c r="A222" t="s">
        <v>240</v>
      </c>
      <c r="B222" s="1" t="str">
        <f>LEFT(Table1[[#This Row],[Item]], FIND("-", Table1[[#This Row],[Item]]) - 1)</f>
        <v>MA12</v>
      </c>
      <c r="C222" s="1" t="str">
        <f>MID(LEFT(Table1[[#This Row],[Item]], FIND("{token}", SUBSTITUTE(Table1[[#This Row],[Item]], "-", "{token}", 2)) - 1), FIND("-", Table1[[#This Row],[Item]]) + 1, LEN(Table1[[#This Row],[Item]]))</f>
        <v>C</v>
      </c>
      <c r="D22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2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22" s="1" cm="1">
        <f t="array" ref="F222">VALUE(INDEX(_xlfn.TEXTSPLIT(Table1[[#This Row],[Item]], "-"), 5))</f>
        <v>2</v>
      </c>
      <c r="G222" s="1" cm="1">
        <f t="array" ref="G222">VALUE(INDEX(_xlfn.TEXTSPLIT(Table1[[#This Row],[Item]], "-"), 6))</f>
        <v>0</v>
      </c>
      <c r="H222" s="1" cm="1">
        <f t="array" ref="H222">VALUE(INDEX(_xlfn.TEXTSPLIT(Table1[[#This Row],[Item]], "-"), 7))</f>
        <v>0</v>
      </c>
      <c r="I222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22" s="1" t="str">
        <f>LEFT(RIGHT(Table1[[#This Row],[Item]],6),1)</f>
        <v>Y</v>
      </c>
      <c r="K222" s="1" t="str">
        <f t="shared" si="3"/>
        <v>Y</v>
      </c>
      <c r="L222" s="1" t="str">
        <f>RIGHT(Table1[[#This Row],[Item]],2)</f>
        <v>CA</v>
      </c>
      <c r="M222" s="1" t="s">
        <v>19</v>
      </c>
      <c r="N222" t="s">
        <v>156</v>
      </c>
      <c r="O222" s="1"/>
    </row>
    <row r="223" spans="1:15">
      <c r="A223" t="s">
        <v>241</v>
      </c>
      <c r="B223" s="1" t="str">
        <f>LEFT(Table1[[#This Row],[Item]], FIND("-", Table1[[#This Row],[Item]]) - 1)</f>
        <v>MA12</v>
      </c>
      <c r="C223" s="1" t="str">
        <f>MID(LEFT(Table1[[#This Row],[Item]], FIND("{token}", SUBSTITUTE(Table1[[#This Row],[Item]], "-", "{token}", 2)) - 1), FIND("-", Table1[[#This Row],[Item]]) + 1, LEN(Table1[[#This Row],[Item]]))</f>
        <v>D</v>
      </c>
      <c r="D22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2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223" s="1" cm="1">
        <f t="array" ref="F223">VALUE(INDEX(_xlfn.TEXTSPLIT(Table1[[#This Row],[Item]], "-"), 5))</f>
        <v>0</v>
      </c>
      <c r="G223" s="1" cm="1">
        <f t="array" ref="G223">VALUE(INDEX(_xlfn.TEXTSPLIT(Table1[[#This Row],[Item]], "-"), 6))</f>
        <v>1</v>
      </c>
      <c r="H223" s="1" cm="1">
        <f t="array" ref="H223">VALUE(INDEX(_xlfn.TEXTSPLIT(Table1[[#This Row],[Item]], "-"), 7))</f>
        <v>0</v>
      </c>
      <c r="I223" s="1" t="str">
        <f>MID(LEFT(Table1[[#This Row],[Item]], FIND("{token}", SUBSTITUTE(Table1[[#This Row],[Item]], "-", "{token}", 8)) - 1), FIND("{token}", SUBSTITUTE(Table1[[#This Row],[Item]], "-", "{token}", 7)) + 1, LEN(Table1[[#This Row],[Item]]))</f>
        <v>LSPO</v>
      </c>
      <c r="J223" s="1" t="str">
        <f>LEFT(RIGHT(Table1[[#This Row],[Item]],6),1)</f>
        <v>Y</v>
      </c>
      <c r="K223" s="1" t="str">
        <f t="shared" si="3"/>
        <v>Y</v>
      </c>
      <c r="L223" s="1" t="str">
        <f>RIGHT(Table1[[#This Row],[Item]],2)</f>
        <v>CA</v>
      </c>
      <c r="M223" s="1" t="s">
        <v>19</v>
      </c>
      <c r="N223" t="s">
        <v>157</v>
      </c>
      <c r="O223" s="1"/>
    </row>
    <row r="224" spans="1:15">
      <c r="A224" t="s">
        <v>242</v>
      </c>
      <c r="B224" s="1" t="str">
        <f>LEFT(Table1[[#This Row],[Item]], FIND("-", Table1[[#This Row],[Item]]) - 1)</f>
        <v>MA12</v>
      </c>
      <c r="C224" s="1" t="str">
        <f>MID(LEFT(Table1[[#This Row],[Item]], FIND("{token}", SUBSTITUTE(Table1[[#This Row],[Item]], "-", "{token}", 2)) - 1), FIND("-", Table1[[#This Row],[Item]]) + 1, LEN(Table1[[#This Row],[Item]]))</f>
        <v>D</v>
      </c>
      <c r="D224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2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224" s="1" cm="1">
        <f t="array" ref="F224">VALUE(INDEX(_xlfn.TEXTSPLIT(Table1[[#This Row],[Item]], "-"), 5))</f>
        <v>0</v>
      </c>
      <c r="G224" s="1" cm="1">
        <f t="array" ref="G224">VALUE(INDEX(_xlfn.TEXTSPLIT(Table1[[#This Row],[Item]], "-"), 6))</f>
        <v>2</v>
      </c>
      <c r="H224" s="1" cm="1">
        <f t="array" ref="H224">VALUE(INDEX(_xlfn.TEXTSPLIT(Table1[[#This Row],[Item]], "-"), 7))</f>
        <v>0</v>
      </c>
      <c r="I224" s="1" t="str">
        <f>MID(LEFT(Table1[[#This Row],[Item]], FIND("{token}", SUBSTITUTE(Table1[[#This Row],[Item]], "-", "{token}", 8)) - 1), FIND("{token}", SUBSTITUTE(Table1[[#This Row],[Item]], "-", "{token}", 7)) + 1, LEN(Table1[[#This Row],[Item]]))</f>
        <v>LSPO</v>
      </c>
      <c r="J224" s="1" t="str">
        <f>LEFT(RIGHT(Table1[[#This Row],[Item]],6),1)</f>
        <v>Y</v>
      </c>
      <c r="K224" s="1" t="str">
        <f t="shared" si="3"/>
        <v>Y</v>
      </c>
      <c r="L224" s="1" t="str">
        <f>RIGHT(Table1[[#This Row],[Item]],2)</f>
        <v>CA</v>
      </c>
      <c r="M224" s="1" t="s">
        <v>19</v>
      </c>
      <c r="N224" t="s">
        <v>158</v>
      </c>
      <c r="O224" s="1"/>
    </row>
    <row r="225" spans="1:15">
      <c r="A225" t="s">
        <v>243</v>
      </c>
      <c r="B225" s="1" t="str">
        <f>LEFT(Table1[[#This Row],[Item]], FIND("-", Table1[[#This Row],[Item]]) - 1)</f>
        <v>MA12</v>
      </c>
      <c r="C225" s="1" t="str">
        <f>MID(LEFT(Table1[[#This Row],[Item]], FIND("{token}", SUBSTITUTE(Table1[[#This Row],[Item]], "-", "{token}", 2)) - 1), FIND("-", Table1[[#This Row],[Item]]) + 1, LEN(Table1[[#This Row],[Item]]))</f>
        <v>D</v>
      </c>
      <c r="D22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2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225" s="1" cm="1">
        <f t="array" ref="F225">VALUE(INDEX(_xlfn.TEXTSPLIT(Table1[[#This Row],[Item]], "-"), 5))</f>
        <v>0</v>
      </c>
      <c r="G225" s="1" cm="1">
        <f t="array" ref="G225">VALUE(INDEX(_xlfn.TEXTSPLIT(Table1[[#This Row],[Item]], "-"), 6))</f>
        <v>1</v>
      </c>
      <c r="H225" s="1" cm="1">
        <f t="array" ref="H225">VALUE(INDEX(_xlfn.TEXTSPLIT(Table1[[#This Row],[Item]], "-"), 7))</f>
        <v>0</v>
      </c>
      <c r="I225" s="1" t="str">
        <f>MID(LEFT(Table1[[#This Row],[Item]], FIND("{token}", SUBSTITUTE(Table1[[#This Row],[Item]], "-", "{token}", 8)) - 1), FIND("{token}", SUBSTITUTE(Table1[[#This Row],[Item]], "-", "{token}", 7)) + 1, LEN(Table1[[#This Row],[Item]]))</f>
        <v>LSPO</v>
      </c>
      <c r="J225" s="1" t="str">
        <f>LEFT(RIGHT(Table1[[#This Row],[Item]],6),1)</f>
        <v>Y</v>
      </c>
      <c r="K225" s="1" t="str">
        <f t="shared" si="3"/>
        <v>Y</v>
      </c>
      <c r="L225" s="1" t="str">
        <f>RIGHT(Table1[[#This Row],[Item]],2)</f>
        <v>CA</v>
      </c>
      <c r="M225" s="1" t="s">
        <v>19</v>
      </c>
      <c r="N225" t="s">
        <v>159</v>
      </c>
      <c r="O225" s="1"/>
    </row>
    <row r="226" spans="1:15">
      <c r="A226" t="s">
        <v>244</v>
      </c>
      <c r="B226" s="1" t="str">
        <f>LEFT(Table1[[#This Row],[Item]], FIND("-", Table1[[#This Row],[Item]]) - 1)</f>
        <v>MA12</v>
      </c>
      <c r="C226" s="1" t="str">
        <f>MID(LEFT(Table1[[#This Row],[Item]], FIND("{token}", SUBSTITUTE(Table1[[#This Row],[Item]], "-", "{token}", 2)) - 1), FIND("-", Table1[[#This Row],[Item]]) + 1, LEN(Table1[[#This Row],[Item]]))</f>
        <v>DXL</v>
      </c>
      <c r="D22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2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226" s="1" cm="1">
        <f t="array" ref="F226">VALUE(INDEX(_xlfn.TEXTSPLIT(Table1[[#This Row],[Item]], "-"), 5))</f>
        <v>0</v>
      </c>
      <c r="G226" s="1" cm="1">
        <f t="array" ref="G226">VALUE(INDEX(_xlfn.TEXTSPLIT(Table1[[#This Row],[Item]], "-"), 6))</f>
        <v>1</v>
      </c>
      <c r="H226" s="1" cm="1">
        <f t="array" ref="H226">VALUE(INDEX(_xlfn.TEXTSPLIT(Table1[[#This Row],[Item]], "-"), 7))</f>
        <v>0</v>
      </c>
      <c r="I226" s="1" t="str">
        <f>MID(LEFT(Table1[[#This Row],[Item]], FIND("{token}", SUBSTITUTE(Table1[[#This Row],[Item]], "-", "{token}", 8)) - 1), FIND("{token}", SUBSTITUTE(Table1[[#This Row],[Item]], "-", "{token}", 7)) + 1, LEN(Table1[[#This Row],[Item]]))</f>
        <v>LSPO</v>
      </c>
      <c r="J226" s="1" t="str">
        <f>LEFT(RIGHT(Table1[[#This Row],[Item]],6),1)</f>
        <v>Y</v>
      </c>
      <c r="K226" s="1" t="str">
        <f t="shared" si="3"/>
        <v>Y</v>
      </c>
      <c r="L226" s="1" t="str">
        <f>RIGHT(Table1[[#This Row],[Item]],2)</f>
        <v>CA</v>
      </c>
      <c r="M226" s="1" t="s">
        <v>19</v>
      </c>
      <c r="N226" t="s">
        <v>160</v>
      </c>
      <c r="O226" s="1"/>
    </row>
    <row r="227" spans="1:15">
      <c r="A227" t="s">
        <v>245</v>
      </c>
      <c r="B227" s="1" t="str">
        <f>LEFT(Table1[[#This Row],[Item]], FIND("-", Table1[[#This Row],[Item]]) - 1)</f>
        <v>MA14</v>
      </c>
      <c r="C227" s="1" t="str">
        <f>MID(LEFT(Table1[[#This Row],[Item]], FIND("{token}", SUBSTITUTE(Table1[[#This Row],[Item]], "-", "{token}", 2)) - 1), FIND("-", Table1[[#This Row],[Item]]) + 1, LEN(Table1[[#This Row],[Item]]))</f>
        <v>C</v>
      </c>
      <c r="D22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2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27" s="1" cm="1">
        <f t="array" ref="F227">VALUE(INDEX(_xlfn.TEXTSPLIT(Table1[[#This Row],[Item]], "-"), 5))</f>
        <v>2</v>
      </c>
      <c r="G227" s="1" cm="1">
        <f t="array" ref="G227">VALUE(INDEX(_xlfn.TEXTSPLIT(Table1[[#This Row],[Item]], "-"), 6))</f>
        <v>0</v>
      </c>
      <c r="H227" s="1" cm="1">
        <f t="array" ref="H227">VALUE(INDEX(_xlfn.TEXTSPLIT(Table1[[#This Row],[Item]], "-"), 7))</f>
        <v>0</v>
      </c>
      <c r="I227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27" s="1" t="str">
        <f>LEFT(RIGHT(Table1[[#This Row],[Item]],6),1)</f>
        <v>Y</v>
      </c>
      <c r="K227" s="1" t="str">
        <f t="shared" si="3"/>
        <v>Y</v>
      </c>
      <c r="L227" s="1" t="str">
        <f>RIGHT(Table1[[#This Row],[Item]],2)</f>
        <v>CA</v>
      </c>
      <c r="M227" s="1" t="s">
        <v>19</v>
      </c>
      <c r="N227" t="s">
        <v>161</v>
      </c>
      <c r="O227" s="1"/>
    </row>
    <row r="228" spans="1:15">
      <c r="A228" t="s">
        <v>246</v>
      </c>
      <c r="B228" s="1" t="str">
        <f>LEFT(Table1[[#This Row],[Item]], FIND("-", Table1[[#This Row],[Item]]) - 1)</f>
        <v>MA14</v>
      </c>
      <c r="C228" s="1" t="str">
        <f>MID(LEFT(Table1[[#This Row],[Item]], FIND("{token}", SUBSTITUTE(Table1[[#This Row],[Item]], "-", "{token}", 2)) - 1), FIND("-", Table1[[#This Row],[Item]]) + 1, LEN(Table1[[#This Row],[Item]]))</f>
        <v>D</v>
      </c>
      <c r="D22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2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228" s="1" cm="1">
        <f t="array" ref="F228">VALUE(INDEX(_xlfn.TEXTSPLIT(Table1[[#This Row],[Item]], "-"), 5))</f>
        <v>0</v>
      </c>
      <c r="G228" s="1" cm="1">
        <f t="array" ref="G228">VALUE(INDEX(_xlfn.TEXTSPLIT(Table1[[#This Row],[Item]], "-"), 6))</f>
        <v>2</v>
      </c>
      <c r="H228" s="1" cm="1">
        <f t="array" ref="H228">VALUE(INDEX(_xlfn.TEXTSPLIT(Table1[[#This Row],[Item]], "-"), 7))</f>
        <v>0</v>
      </c>
      <c r="I228" s="1" t="str">
        <f>MID(LEFT(Table1[[#This Row],[Item]], FIND("{token}", SUBSTITUTE(Table1[[#This Row],[Item]], "-", "{token}", 8)) - 1), FIND("{token}", SUBSTITUTE(Table1[[#This Row],[Item]], "-", "{token}", 7)) + 1, LEN(Table1[[#This Row],[Item]]))</f>
        <v>LSPO</v>
      </c>
      <c r="J228" s="1" t="str">
        <f>LEFT(RIGHT(Table1[[#This Row],[Item]],6),1)</f>
        <v>Y</v>
      </c>
      <c r="K228" s="1" t="str">
        <f t="shared" si="3"/>
        <v>Y</v>
      </c>
      <c r="L228" s="1" t="str">
        <f>RIGHT(Table1[[#This Row],[Item]],2)</f>
        <v>CA</v>
      </c>
      <c r="M228" s="1" t="s">
        <v>19</v>
      </c>
      <c r="N228" t="s">
        <v>162</v>
      </c>
      <c r="O228" s="1"/>
    </row>
    <row r="229" spans="1:15">
      <c r="A229" t="s">
        <v>247</v>
      </c>
      <c r="B229" s="1" t="str">
        <f>LEFT(Table1[[#This Row],[Item]], FIND("-", Table1[[#This Row],[Item]]) - 1)</f>
        <v>MA14</v>
      </c>
      <c r="C229" s="1" t="str">
        <f>MID(LEFT(Table1[[#This Row],[Item]], FIND("{token}", SUBSTITUTE(Table1[[#This Row],[Item]], "-", "{token}", 2)) - 1), FIND("-", Table1[[#This Row],[Item]]) + 1, LEN(Table1[[#This Row],[Item]]))</f>
        <v>D</v>
      </c>
      <c r="D22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2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229" s="1" cm="1">
        <f t="array" ref="F229">VALUE(INDEX(_xlfn.TEXTSPLIT(Table1[[#This Row],[Item]], "-"), 5))</f>
        <v>0</v>
      </c>
      <c r="G229" s="1" cm="1">
        <f t="array" ref="G229">VALUE(INDEX(_xlfn.TEXTSPLIT(Table1[[#This Row],[Item]], "-"), 6))</f>
        <v>2</v>
      </c>
      <c r="H229" s="1" cm="1">
        <f t="array" ref="H229">VALUE(INDEX(_xlfn.TEXTSPLIT(Table1[[#This Row],[Item]], "-"), 7))</f>
        <v>0</v>
      </c>
      <c r="I229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29" s="1" t="str">
        <f>LEFT(RIGHT(Table1[[#This Row],[Item]],6),1)</f>
        <v>Y</v>
      </c>
      <c r="K229" s="1" t="str">
        <f t="shared" si="3"/>
        <v>Y</v>
      </c>
      <c r="L229" s="1" t="str">
        <f>RIGHT(Table1[[#This Row],[Item]],2)</f>
        <v>CA</v>
      </c>
      <c r="M229" s="1" t="s">
        <v>19</v>
      </c>
      <c r="N229" t="s">
        <v>163</v>
      </c>
      <c r="O229" s="1"/>
    </row>
    <row r="230" spans="1:15">
      <c r="A230" t="s">
        <v>248</v>
      </c>
      <c r="B230" s="1" t="str">
        <f>LEFT(Table1[[#This Row],[Item]], FIND("-", Table1[[#This Row],[Item]]) - 1)</f>
        <v>MA14</v>
      </c>
      <c r="C230" s="1" t="str">
        <f>MID(LEFT(Table1[[#This Row],[Item]], FIND("{token}", SUBSTITUTE(Table1[[#This Row],[Item]], "-", "{token}", 2)) - 1), FIND("-", Table1[[#This Row],[Item]]) + 1, LEN(Table1[[#This Row],[Item]]))</f>
        <v>DXL</v>
      </c>
      <c r="D23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3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230" s="1" cm="1">
        <f t="array" ref="F230">VALUE(INDEX(_xlfn.TEXTSPLIT(Table1[[#This Row],[Item]], "-"), 5))</f>
        <v>0</v>
      </c>
      <c r="G230" s="1" cm="1">
        <f t="array" ref="G230">VALUE(INDEX(_xlfn.TEXTSPLIT(Table1[[#This Row],[Item]], "-"), 6))</f>
        <v>2</v>
      </c>
      <c r="H230" s="1" cm="1">
        <f t="array" ref="H230">VALUE(INDEX(_xlfn.TEXTSPLIT(Table1[[#This Row],[Item]], "-"), 7))</f>
        <v>0</v>
      </c>
      <c r="I230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30" s="1" t="str">
        <f>LEFT(RIGHT(Table1[[#This Row],[Item]],6),1)</f>
        <v>Y</v>
      </c>
      <c r="K230" s="1" t="str">
        <f t="shared" si="3"/>
        <v>Y</v>
      </c>
      <c r="L230" s="1" t="str">
        <f>RIGHT(Table1[[#This Row],[Item]],2)</f>
        <v>CA</v>
      </c>
      <c r="M230" s="1" t="s">
        <v>19</v>
      </c>
      <c r="N230" t="s">
        <v>164</v>
      </c>
      <c r="O230" s="1"/>
    </row>
    <row r="231" spans="1:15">
      <c r="A231" t="s">
        <v>249</v>
      </c>
      <c r="B231" s="1" t="str">
        <f>LEFT(Table1[[#This Row],[Item]], FIND("-", Table1[[#This Row],[Item]]) - 1)</f>
        <v>STC8</v>
      </c>
      <c r="C231" s="1" t="str">
        <f>MID(LEFT(Table1[[#This Row],[Item]], FIND("{token}", SUBSTITUTE(Table1[[#This Row],[Item]], "-", "{token}", 2)) - 1), FIND("-", Table1[[#This Row],[Item]]) + 1, LEN(Table1[[#This Row],[Item]]))</f>
        <v>N</v>
      </c>
      <c r="D23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3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231" s="1" cm="1">
        <f t="array" ref="F231">VALUE(INDEX(_xlfn.TEXTSPLIT(Table1[[#This Row],[Item]], "-"), 5))</f>
        <v>1</v>
      </c>
      <c r="G231" s="1" cm="1">
        <f t="array" ref="G231">VALUE(INDEX(_xlfn.TEXTSPLIT(Table1[[#This Row],[Item]], "-"), 6))</f>
        <v>0</v>
      </c>
      <c r="H231" s="1" cm="1">
        <f t="array" ref="H231">VALUE(INDEX(_xlfn.TEXTSPLIT(Table1[[#This Row],[Item]], "-"), 7))</f>
        <v>0</v>
      </c>
      <c r="I231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31" s="1" t="str">
        <f>LEFT(RIGHT(Table1[[#This Row],[Item]],6),1)</f>
        <v>N</v>
      </c>
      <c r="K231" s="1" t="str">
        <f t="shared" si="3"/>
        <v>Y</v>
      </c>
      <c r="L231" s="1" t="str">
        <f>RIGHT(Table1[[#This Row],[Item]],2)</f>
        <v>CA</v>
      </c>
      <c r="M231" s="1" t="s">
        <v>19</v>
      </c>
      <c r="N231" t="s">
        <v>165</v>
      </c>
      <c r="O231" s="1"/>
    </row>
    <row r="232" spans="1:15">
      <c r="A232" t="s">
        <v>250</v>
      </c>
      <c r="B232" s="1" t="str">
        <f>LEFT(Table1[[#This Row],[Item]], FIND("-", Table1[[#This Row],[Item]]) - 1)</f>
        <v>STC8</v>
      </c>
      <c r="C232" s="1" t="str">
        <f>MID(LEFT(Table1[[#This Row],[Item]], FIND("{token}", SUBSTITUTE(Table1[[#This Row],[Item]], "-", "{token}", 2)) - 1), FIND("-", Table1[[#This Row],[Item]]) + 1, LEN(Table1[[#This Row],[Item]]))</f>
        <v>N</v>
      </c>
      <c r="D23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3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232" s="1" cm="1">
        <f t="array" ref="F232">VALUE(INDEX(_xlfn.TEXTSPLIT(Table1[[#This Row],[Item]], "-"), 5))</f>
        <v>1</v>
      </c>
      <c r="G232" s="1" cm="1">
        <f t="array" ref="G232">VALUE(INDEX(_xlfn.TEXTSPLIT(Table1[[#This Row],[Item]], "-"), 6))</f>
        <v>0</v>
      </c>
      <c r="H232" s="1" cm="1">
        <f t="array" ref="H232">VALUE(INDEX(_xlfn.TEXTSPLIT(Table1[[#This Row],[Item]], "-"), 7))</f>
        <v>0</v>
      </c>
      <c r="I232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32" s="1" t="str">
        <f>LEFT(RIGHT(Table1[[#This Row],[Item]],6),1)</f>
        <v>Y</v>
      </c>
      <c r="K232" s="1" t="str">
        <f t="shared" si="3"/>
        <v>Y</v>
      </c>
      <c r="L232" s="1" t="str">
        <f>RIGHT(Table1[[#This Row],[Item]],2)</f>
        <v>CA</v>
      </c>
      <c r="M232" s="1" t="s">
        <v>19</v>
      </c>
      <c r="N232" t="s">
        <v>166</v>
      </c>
      <c r="O232" s="1"/>
    </row>
    <row r="233" spans="1:15">
      <c r="A233" t="s">
        <v>251</v>
      </c>
      <c r="B233" s="1" t="str">
        <f>LEFT(Table1[[#This Row],[Item]], FIND("-", Table1[[#This Row],[Item]]) - 1)</f>
        <v>STC9</v>
      </c>
      <c r="C233" s="1" t="str">
        <f>MID(LEFT(Table1[[#This Row],[Item]], FIND("{token}", SUBSTITUTE(Table1[[#This Row],[Item]], "-", "{token}", 2)) - 1), FIND("-", Table1[[#This Row],[Item]]) + 1, LEN(Table1[[#This Row],[Item]]))</f>
        <v>C</v>
      </c>
      <c r="D23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3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33" s="1" cm="1">
        <f t="array" ref="F233">VALUE(INDEX(_xlfn.TEXTSPLIT(Table1[[#This Row],[Item]], "-"), 5))</f>
        <v>0</v>
      </c>
      <c r="G233" s="1" cm="1">
        <f t="array" ref="G233">VALUE(INDEX(_xlfn.TEXTSPLIT(Table1[[#This Row],[Item]], "-"), 6))</f>
        <v>0</v>
      </c>
      <c r="H233" s="1" cm="1">
        <f t="array" ref="H233">VALUE(INDEX(_xlfn.TEXTSPLIT(Table1[[#This Row],[Item]], "-"), 7))</f>
        <v>0</v>
      </c>
      <c r="I233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33" s="1" t="str">
        <f>LEFT(RIGHT(Table1[[#This Row],[Item]],6),1)</f>
        <v>Y</v>
      </c>
      <c r="K233" s="1" t="str">
        <f t="shared" si="3"/>
        <v>Y</v>
      </c>
      <c r="L233" s="1" t="str">
        <f>RIGHT(Table1[[#This Row],[Item]],2)</f>
        <v>CA</v>
      </c>
      <c r="M233" s="1" t="s">
        <v>19</v>
      </c>
      <c r="N233" t="s">
        <v>167</v>
      </c>
      <c r="O233" s="1"/>
    </row>
    <row r="234" spans="1:15">
      <c r="A234" t="s">
        <v>252</v>
      </c>
      <c r="B234" s="1" t="str">
        <f>LEFT(Table1[[#This Row],[Item]], FIND("-", Table1[[#This Row],[Item]]) - 1)</f>
        <v>STC9</v>
      </c>
      <c r="C234" s="1" t="str">
        <f>MID(LEFT(Table1[[#This Row],[Item]], FIND("{token}", SUBSTITUTE(Table1[[#This Row],[Item]], "-", "{token}", 2)) - 1), FIND("-", Table1[[#This Row],[Item]]) + 1, LEN(Table1[[#This Row],[Item]]))</f>
        <v>N</v>
      </c>
      <c r="D23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3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234" s="1" cm="1">
        <f t="array" ref="F234">VALUE(INDEX(_xlfn.TEXTSPLIT(Table1[[#This Row],[Item]], "-"), 5))</f>
        <v>2</v>
      </c>
      <c r="G234" s="1" cm="1">
        <f t="array" ref="G234">VALUE(INDEX(_xlfn.TEXTSPLIT(Table1[[#This Row],[Item]], "-"), 6))</f>
        <v>0</v>
      </c>
      <c r="H234" s="1" cm="1">
        <f t="array" ref="H234">VALUE(INDEX(_xlfn.TEXTSPLIT(Table1[[#This Row],[Item]], "-"), 7))</f>
        <v>0</v>
      </c>
      <c r="I234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34" s="1" t="str">
        <f>LEFT(RIGHT(Table1[[#This Row],[Item]],6),1)</f>
        <v>Y</v>
      </c>
      <c r="K234" s="1" t="str">
        <f t="shared" si="3"/>
        <v>Y</v>
      </c>
      <c r="L234" s="1" t="str">
        <f>RIGHT(Table1[[#This Row],[Item]],2)</f>
        <v>CA</v>
      </c>
      <c r="M234" s="1" t="s">
        <v>19</v>
      </c>
      <c r="N234" t="s">
        <v>168</v>
      </c>
      <c r="O234" s="1"/>
    </row>
    <row r="235" spans="1:15">
      <c r="A235" t="s">
        <v>253</v>
      </c>
      <c r="B235" s="1" t="str">
        <f>LEFT(Table1[[#This Row],[Item]], FIND("-", Table1[[#This Row],[Item]]) - 1)</f>
        <v>STT7</v>
      </c>
      <c r="C235" s="1" t="str">
        <f>MID(LEFT(Table1[[#This Row],[Item]], FIND("{token}", SUBSTITUTE(Table1[[#This Row],[Item]], "-", "{token}", 2)) - 1), FIND("-", Table1[[#This Row],[Item]]) + 1, LEN(Table1[[#This Row],[Item]]))</f>
        <v>N</v>
      </c>
      <c r="D23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3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35" s="1" cm="1">
        <f t="array" ref="F235">VALUE(INDEX(_xlfn.TEXTSPLIT(Table1[[#This Row],[Item]], "-"), 5))</f>
        <v>0</v>
      </c>
      <c r="G235" s="1" cm="1">
        <f t="array" ref="G235">VALUE(INDEX(_xlfn.TEXTSPLIT(Table1[[#This Row],[Item]], "-"), 6))</f>
        <v>0</v>
      </c>
      <c r="H235" s="1" cm="1">
        <f t="array" ref="H235">VALUE(INDEX(_xlfn.TEXTSPLIT(Table1[[#This Row],[Item]], "-"), 7))</f>
        <v>0</v>
      </c>
      <c r="I235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35" s="1" t="str">
        <f>LEFT(RIGHT(Table1[[#This Row],[Item]],6),1)</f>
        <v>Y</v>
      </c>
      <c r="K235" s="1" t="str">
        <f t="shared" si="3"/>
        <v>N</v>
      </c>
      <c r="L235" s="1" t="str">
        <f>RIGHT(Table1[[#This Row],[Item]],2)</f>
        <v>CA</v>
      </c>
      <c r="M235" s="1" t="s">
        <v>19</v>
      </c>
      <c r="N235" t="s">
        <v>170</v>
      </c>
      <c r="O235" s="1"/>
    </row>
    <row r="236" spans="1:15">
      <c r="A236" t="s">
        <v>254</v>
      </c>
      <c r="B236" s="1" t="str">
        <f>LEFT(Table1[[#This Row],[Item]], FIND("-", Table1[[#This Row],[Item]]) - 1)</f>
        <v>STT7</v>
      </c>
      <c r="C236" s="1" t="str">
        <f>MID(LEFT(Table1[[#This Row],[Item]], FIND("{token}", SUBSTITUTE(Table1[[#This Row],[Item]], "-", "{token}", 2)) - 1), FIND("-", Table1[[#This Row],[Item]]) + 1, LEN(Table1[[#This Row],[Item]]))</f>
        <v>N</v>
      </c>
      <c r="D23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3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36" s="1" cm="1">
        <f t="array" ref="F236">VALUE(INDEX(_xlfn.TEXTSPLIT(Table1[[#This Row],[Item]], "-"), 5))</f>
        <v>0</v>
      </c>
      <c r="G236" s="1" cm="1">
        <f t="array" ref="G236">VALUE(INDEX(_xlfn.TEXTSPLIT(Table1[[#This Row],[Item]], "-"), 6))</f>
        <v>0</v>
      </c>
      <c r="H236" s="1" cm="1">
        <f t="array" ref="H236">VALUE(INDEX(_xlfn.TEXTSPLIT(Table1[[#This Row],[Item]], "-"), 7))</f>
        <v>0</v>
      </c>
      <c r="I236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36" s="1" t="str">
        <f>LEFT(RIGHT(Table1[[#This Row],[Item]],6),1)</f>
        <v>Y</v>
      </c>
      <c r="K236" s="1" t="str">
        <f t="shared" si="3"/>
        <v>Y</v>
      </c>
      <c r="L236" s="1" t="str">
        <f>RIGHT(Table1[[#This Row],[Item]],2)</f>
        <v>CA</v>
      </c>
      <c r="M236" s="1" t="s">
        <v>19</v>
      </c>
      <c r="N236" t="s">
        <v>171</v>
      </c>
      <c r="O236" s="1"/>
    </row>
    <row r="237" spans="1:15">
      <c r="A237" t="s">
        <v>255</v>
      </c>
      <c r="B237" s="1" t="str">
        <f>LEFT(Table1[[#This Row],[Item]], FIND("-", Table1[[#This Row],[Item]]) - 1)</f>
        <v>STT9</v>
      </c>
      <c r="C237" s="1" t="str">
        <f>MID(LEFT(Table1[[#This Row],[Item]], FIND("{token}", SUBSTITUTE(Table1[[#This Row],[Item]], "-", "{token}", 2)) - 1), FIND("-", Table1[[#This Row],[Item]]) + 1, LEN(Table1[[#This Row],[Item]]))</f>
        <v>N</v>
      </c>
      <c r="D23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3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37" s="1" cm="1">
        <f t="array" ref="F237">VALUE(INDEX(_xlfn.TEXTSPLIT(Table1[[#This Row],[Item]], "-"), 5))</f>
        <v>0</v>
      </c>
      <c r="G237" s="1" cm="1">
        <f t="array" ref="G237">VALUE(INDEX(_xlfn.TEXTSPLIT(Table1[[#This Row],[Item]], "-"), 6))</f>
        <v>0</v>
      </c>
      <c r="H237" s="1" cm="1">
        <f t="array" ref="H237">VALUE(INDEX(_xlfn.TEXTSPLIT(Table1[[#This Row],[Item]], "-"), 7))</f>
        <v>0</v>
      </c>
      <c r="I237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37" s="1" t="str">
        <f>LEFT(RIGHT(Table1[[#This Row],[Item]],6),1)</f>
        <v>Y</v>
      </c>
      <c r="K237" s="1" t="str">
        <f t="shared" si="3"/>
        <v>Y</v>
      </c>
      <c r="L237" s="1" t="str">
        <f>RIGHT(Table1[[#This Row],[Item]],2)</f>
        <v>CA</v>
      </c>
      <c r="M237" s="1" t="s">
        <v>19</v>
      </c>
      <c r="N237" t="s">
        <v>172</v>
      </c>
      <c r="O237" s="1"/>
    </row>
    <row r="238" spans="1:15">
      <c r="A238" t="s">
        <v>256</v>
      </c>
      <c r="B238" s="1" t="str">
        <f>LEFT(Table1[[#This Row],[Item]], FIND("-", Table1[[#This Row],[Item]]) - 1)</f>
        <v>ARB8</v>
      </c>
      <c r="C238" s="1" t="str">
        <f>MID(LEFT(Table1[[#This Row],[Item]], FIND("{token}", SUBSTITUTE(Table1[[#This Row],[Item]], "-", "{token}", 2)) - 1), FIND("-", Table1[[#This Row],[Item]]) + 1, LEN(Table1[[#This Row],[Item]]))</f>
        <v>L</v>
      </c>
      <c r="D23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3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238" s="1" cm="1">
        <f t="array" ref="F238">VALUE(INDEX(_xlfn.TEXTSPLIT(Table1[[#This Row],[Item]], "-"), 5))</f>
        <v>1</v>
      </c>
      <c r="G238" s="1" cm="1">
        <f t="array" ref="G238">VALUE(INDEX(_xlfn.TEXTSPLIT(Table1[[#This Row],[Item]], "-"), 6))</f>
        <v>0</v>
      </c>
      <c r="H238" s="1" cm="1">
        <f t="array" ref="H238">VALUE(INDEX(_xlfn.TEXTSPLIT(Table1[[#This Row],[Item]], "-"), 7))</f>
        <v>1</v>
      </c>
      <c r="I238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38" s="1" t="str">
        <f>LEFT(RIGHT(Table1[[#This Row],[Item]],6),1)</f>
        <v>Y</v>
      </c>
      <c r="K238" s="1" t="str">
        <f t="shared" si="3"/>
        <v>Y</v>
      </c>
      <c r="L238" s="1" t="str">
        <f>RIGHT(Table1[[#This Row],[Item]],2)</f>
        <v>CA</v>
      </c>
      <c r="M238" s="1" t="s">
        <v>19</v>
      </c>
      <c r="N238" t="s">
        <v>181</v>
      </c>
      <c r="O238" s="1"/>
    </row>
    <row r="239" spans="1:15">
      <c r="A239" t="s">
        <v>257</v>
      </c>
      <c r="B239" s="1" t="str">
        <f>LEFT(Table1[[#This Row],[Item]], FIND("-", Table1[[#This Row],[Item]]) - 1)</f>
        <v>MA12</v>
      </c>
      <c r="C239" s="1" t="str">
        <f>MID(LEFT(Table1[[#This Row],[Item]], FIND("{token}", SUBSTITUTE(Table1[[#This Row],[Item]], "-", "{token}", 2)) - 1), FIND("-", Table1[[#This Row],[Item]]) + 1, LEN(Table1[[#This Row],[Item]]))</f>
        <v>DXL</v>
      </c>
      <c r="D23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3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239" s="1" cm="1">
        <f t="array" ref="F239">VALUE(INDEX(_xlfn.TEXTSPLIT(Table1[[#This Row],[Item]], "-"), 5))</f>
        <v>0</v>
      </c>
      <c r="G239" s="1" cm="1">
        <f t="array" ref="G239">VALUE(INDEX(_xlfn.TEXTSPLIT(Table1[[#This Row],[Item]], "-"), 6))</f>
        <v>0</v>
      </c>
      <c r="H239" s="1" cm="1">
        <f t="array" ref="H239">VALUE(INDEX(_xlfn.TEXTSPLIT(Table1[[#This Row],[Item]], "-"), 7))</f>
        <v>0</v>
      </c>
      <c r="I239" s="1" t="str">
        <f>MID(LEFT(Table1[[#This Row],[Item]], FIND("{token}", SUBSTITUTE(Table1[[#This Row],[Item]], "-", "{token}", 8)) - 1), FIND("{token}", SUBSTITUTE(Table1[[#This Row],[Item]], "-", "{token}", 7)) + 1, LEN(Table1[[#This Row],[Item]]))</f>
        <v>LSPO</v>
      </c>
      <c r="J239" s="1" t="str">
        <f>LEFT(RIGHT(Table1[[#This Row],[Item]],6),1)</f>
        <v>Y</v>
      </c>
      <c r="K239" s="1" t="str">
        <f t="shared" si="3"/>
        <v>Y</v>
      </c>
      <c r="L239" s="1" t="str">
        <f>RIGHT(Table1[[#This Row],[Item]],2)</f>
        <v>CA</v>
      </c>
      <c r="M239" s="1" t="s">
        <v>19</v>
      </c>
      <c r="N239" t="s">
        <v>184</v>
      </c>
      <c r="O239" s="1"/>
    </row>
    <row r="240" spans="1:15">
      <c r="A240" t="s">
        <v>258</v>
      </c>
      <c r="B240" s="1" t="str">
        <f>LEFT(Table1[[#This Row],[Item]], FIND("-", Table1[[#This Row],[Item]]) - 1)</f>
        <v>MA12</v>
      </c>
      <c r="C240" s="1" t="str">
        <f>MID(LEFT(Table1[[#This Row],[Item]], FIND("{token}", SUBSTITUTE(Table1[[#This Row],[Item]], "-", "{token}", 2)) - 1), FIND("-", Table1[[#This Row],[Item]]) + 1, LEN(Table1[[#This Row],[Item]]))</f>
        <v>N</v>
      </c>
      <c r="D24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4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40" s="1" cm="1">
        <f t="array" ref="F240">VALUE(INDEX(_xlfn.TEXTSPLIT(Table1[[#This Row],[Item]], "-"), 5))</f>
        <v>2</v>
      </c>
      <c r="G240" s="1" cm="1">
        <f t="array" ref="G240">VALUE(INDEX(_xlfn.TEXTSPLIT(Table1[[#This Row],[Item]], "-"), 6))</f>
        <v>0</v>
      </c>
      <c r="H240" s="1" cm="1">
        <f t="array" ref="H240">VALUE(INDEX(_xlfn.TEXTSPLIT(Table1[[#This Row],[Item]], "-"), 7))</f>
        <v>0</v>
      </c>
      <c r="I240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40" s="1" t="str">
        <f>LEFT(RIGHT(Table1[[#This Row],[Item]],6),1)</f>
        <v>Y</v>
      </c>
      <c r="K240" s="1" t="str">
        <f t="shared" si="3"/>
        <v>Y</v>
      </c>
      <c r="L240" s="1" t="str">
        <f>RIGHT(Table1[[#This Row],[Item]],2)</f>
        <v>CA</v>
      </c>
      <c r="M240" s="1" t="s">
        <v>19</v>
      </c>
      <c r="N240" t="s">
        <v>195</v>
      </c>
      <c r="O240" s="1"/>
    </row>
    <row r="241" spans="1:15">
      <c r="A241" t="s">
        <v>259</v>
      </c>
      <c r="B241" s="1" t="str">
        <f>LEFT(Table1[[#This Row],[Item]], FIND("-", Table1[[#This Row],[Item]]) - 1)</f>
        <v>MA12</v>
      </c>
      <c r="C241" s="1" t="str">
        <f>MID(LEFT(Table1[[#This Row],[Item]], FIND("{token}", SUBSTITUTE(Table1[[#This Row],[Item]], "-", "{token}", 2)) - 1), FIND("-", Table1[[#This Row],[Item]]) + 1, LEN(Table1[[#This Row],[Item]]))</f>
        <v>D</v>
      </c>
      <c r="D24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4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241" s="1" cm="1">
        <f t="array" ref="F241">VALUE(INDEX(_xlfn.TEXTSPLIT(Table1[[#This Row],[Item]], "-"), 5))</f>
        <v>0</v>
      </c>
      <c r="G241" s="1" cm="1">
        <f t="array" ref="G241">VALUE(INDEX(_xlfn.TEXTSPLIT(Table1[[#This Row],[Item]], "-"), 6))</f>
        <v>1</v>
      </c>
      <c r="H241" s="1" cm="1">
        <f t="array" ref="H241">VALUE(INDEX(_xlfn.TEXTSPLIT(Table1[[#This Row],[Item]], "-"), 7))</f>
        <v>0</v>
      </c>
      <c r="I241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41" s="1" t="str">
        <f>LEFT(RIGHT(Table1[[#This Row],[Item]],6),1)</f>
        <v>Y</v>
      </c>
      <c r="K241" s="1" t="str">
        <f t="shared" si="3"/>
        <v>Y</v>
      </c>
      <c r="L241" s="1" t="str">
        <f>RIGHT(Table1[[#This Row],[Item]],2)</f>
        <v>CA</v>
      </c>
      <c r="M241" s="1" t="s">
        <v>19</v>
      </c>
      <c r="N241" t="s">
        <v>197</v>
      </c>
      <c r="O241" s="1"/>
    </row>
    <row r="242" spans="1:15">
      <c r="A242" t="s">
        <v>260</v>
      </c>
      <c r="B242" s="1" t="str">
        <f>LEFT(Table1[[#This Row],[Item]], FIND("-", Table1[[#This Row],[Item]]) - 1)</f>
        <v>STC8</v>
      </c>
      <c r="C242" s="1" t="str">
        <f>MID(LEFT(Table1[[#This Row],[Item]], FIND("{token}", SUBSTITUTE(Table1[[#This Row],[Item]], "-", "{token}", 2)) - 1), FIND("-", Table1[[#This Row],[Item]]) + 1, LEN(Table1[[#This Row],[Item]]))</f>
        <v>N</v>
      </c>
      <c r="D24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4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242" s="1" cm="1">
        <f t="array" ref="F242">VALUE(INDEX(_xlfn.TEXTSPLIT(Table1[[#This Row],[Item]], "-"), 5))</f>
        <v>1</v>
      </c>
      <c r="G242" s="1" cm="1">
        <f t="array" ref="G242">VALUE(INDEX(_xlfn.TEXTSPLIT(Table1[[#This Row],[Item]], "-"), 6))</f>
        <v>0</v>
      </c>
      <c r="H242" s="1" cm="1">
        <f t="array" ref="H242">VALUE(INDEX(_xlfn.TEXTSPLIT(Table1[[#This Row],[Item]], "-"), 7))</f>
        <v>0</v>
      </c>
      <c r="I242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42" s="1" t="str">
        <f>LEFT(RIGHT(Table1[[#This Row],[Item]],6),1)</f>
        <v>Y</v>
      </c>
      <c r="K242" s="1" t="str">
        <f t="shared" si="3"/>
        <v>N</v>
      </c>
      <c r="L242" s="1" t="str">
        <f>RIGHT(Table1[[#This Row],[Item]],2)</f>
        <v>CA</v>
      </c>
      <c r="M242" s="1" t="s">
        <v>19</v>
      </c>
      <c r="N242" t="s">
        <v>205</v>
      </c>
      <c r="O242" s="1"/>
    </row>
    <row r="243" spans="1:15">
      <c r="A243" t="s">
        <v>261</v>
      </c>
      <c r="B243" s="1" t="str">
        <f>LEFT(Table1[[#This Row],[Item]], FIND("-", Table1[[#This Row],[Item]]) - 1)</f>
        <v>STT7</v>
      </c>
      <c r="C243" s="1" t="str">
        <f>MID(LEFT(Table1[[#This Row],[Item]], FIND("{token}", SUBSTITUTE(Table1[[#This Row],[Item]], "-", "{token}", 2)) - 1), FIND("-", Table1[[#This Row],[Item]]) + 1, LEN(Table1[[#This Row],[Item]]))</f>
        <v>N</v>
      </c>
      <c r="D24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4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43" s="1" cm="1">
        <f t="array" ref="F243">VALUE(INDEX(_xlfn.TEXTSPLIT(Table1[[#This Row],[Item]], "-"), 5))</f>
        <v>0</v>
      </c>
      <c r="G243" s="1" cm="1">
        <f t="array" ref="G243">VALUE(INDEX(_xlfn.TEXTSPLIT(Table1[[#This Row],[Item]], "-"), 6))</f>
        <v>0</v>
      </c>
      <c r="H243" s="1" cm="1">
        <f t="array" ref="H243">VALUE(INDEX(_xlfn.TEXTSPLIT(Table1[[#This Row],[Item]], "-"), 7))</f>
        <v>0</v>
      </c>
      <c r="I24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43" s="1" t="str">
        <f>LEFT(RIGHT(Table1[[#This Row],[Item]],6),1)</f>
        <v>N</v>
      </c>
      <c r="K243" s="1" t="str">
        <f t="shared" si="3"/>
        <v>N</v>
      </c>
      <c r="L243" s="1" t="str">
        <f>RIGHT(Table1[[#This Row],[Item]],2)</f>
        <v>CA</v>
      </c>
      <c r="M243" s="1" t="s">
        <v>33</v>
      </c>
      <c r="N243" t="s">
        <v>261</v>
      </c>
      <c r="O243" s="1"/>
    </row>
    <row r="244" spans="1:15">
      <c r="A244" t="s">
        <v>262</v>
      </c>
      <c r="B244" s="1" t="str">
        <f>LEFT(Table1[[#This Row],[Item]], FIND("-", Table1[[#This Row],[Item]]) - 1)</f>
        <v>GX12</v>
      </c>
      <c r="C244" s="1" t="str">
        <f>MID(LEFT(Table1[[#This Row],[Item]], FIND("{token}", SUBSTITUTE(Table1[[#This Row],[Item]], "-", "{token}", 2)) - 1), FIND("-", Table1[[#This Row],[Item]]) + 1, LEN(Table1[[#This Row],[Item]]))</f>
        <v>DXL</v>
      </c>
      <c r="D24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4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44" s="1" cm="1">
        <f t="array" ref="F244">VALUE(INDEX(_xlfn.TEXTSPLIT(Table1[[#This Row],[Item]], "-"), 5))</f>
        <v>1</v>
      </c>
      <c r="G244" s="1" cm="1">
        <f t="array" ref="G244">VALUE(INDEX(_xlfn.TEXTSPLIT(Table1[[#This Row],[Item]], "-"), 6))</f>
        <v>2</v>
      </c>
      <c r="H244" s="1" cm="1">
        <f t="array" ref="H244">VALUE(INDEX(_xlfn.TEXTSPLIT(Table1[[#This Row],[Item]], "-"), 7))</f>
        <v>1</v>
      </c>
      <c r="I24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44" s="1" t="str">
        <f>LEFT(RIGHT(Table1[[#This Row],[Item]],6),1)</f>
        <v>N</v>
      </c>
      <c r="K244" s="1" t="str">
        <f t="shared" si="3"/>
        <v>N</v>
      </c>
      <c r="L244" s="1" t="str">
        <f>RIGHT(Table1[[#This Row],[Item]],2)</f>
        <v>CA</v>
      </c>
      <c r="M244" s="1" t="s">
        <v>33</v>
      </c>
      <c r="N244" t="s">
        <v>262</v>
      </c>
      <c r="O244" s="1"/>
    </row>
    <row r="245" spans="1:15">
      <c r="A245" t="s">
        <v>263</v>
      </c>
      <c r="B245" s="1" t="str">
        <f>LEFT(Table1[[#This Row],[Item]], FIND("-", Table1[[#This Row],[Item]]) - 1)</f>
        <v>ARB8</v>
      </c>
      <c r="C245" s="1" t="str">
        <f>MID(LEFT(Table1[[#This Row],[Item]], FIND("{token}", SUBSTITUTE(Table1[[#This Row],[Item]], "-", "{token}", 2)) - 1), FIND("-", Table1[[#This Row],[Item]]) + 1, LEN(Table1[[#This Row],[Item]]))</f>
        <v>L</v>
      </c>
      <c r="D245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24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245" s="1" cm="1">
        <f t="array" ref="F245">VALUE(INDEX(_xlfn.TEXTSPLIT(Table1[[#This Row],[Item]], "-"), 5))</f>
        <v>1</v>
      </c>
      <c r="G245" s="1" cm="1">
        <f t="array" ref="G245">VALUE(INDEX(_xlfn.TEXTSPLIT(Table1[[#This Row],[Item]], "-"), 6))</f>
        <v>0</v>
      </c>
      <c r="H245" s="1" cm="1">
        <f t="array" ref="H245">VALUE(INDEX(_xlfn.TEXTSPLIT(Table1[[#This Row],[Item]], "-"), 7))</f>
        <v>1</v>
      </c>
      <c r="I245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45" s="1" t="str">
        <f>LEFT(RIGHT(Table1[[#This Row],[Item]],6),1)</f>
        <v>Y</v>
      </c>
      <c r="K245" s="1" t="str">
        <f t="shared" si="3"/>
        <v>Y</v>
      </c>
      <c r="L245" s="1" t="str">
        <f>RIGHT(Table1[[#This Row],[Item]],2)</f>
        <v>CA</v>
      </c>
      <c r="M245" s="1" t="s">
        <v>33</v>
      </c>
      <c r="N245" t="s">
        <v>263</v>
      </c>
      <c r="O245" s="1"/>
    </row>
    <row r="246" spans="1:15">
      <c r="A246" t="s">
        <v>264</v>
      </c>
      <c r="B246" s="1" t="str">
        <f>LEFT(Table1[[#This Row],[Item]], FIND("-", Table1[[#This Row],[Item]]) - 1)</f>
        <v>GX14</v>
      </c>
      <c r="C246" s="1" t="str">
        <f>MID(LEFT(Table1[[#This Row],[Item]], FIND("{token}", SUBSTITUTE(Table1[[#This Row],[Item]], "-", "{token}", 2)) - 1), FIND("-", Table1[[#This Row],[Item]]) + 1, LEN(Table1[[#This Row],[Item]]))</f>
        <v>DXL</v>
      </c>
      <c r="D24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4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246" s="1" cm="1">
        <f t="array" ref="F246">VALUE(INDEX(_xlfn.TEXTSPLIT(Table1[[#This Row],[Item]], "-"), 5))</f>
        <v>2</v>
      </c>
      <c r="G246" s="1" cm="1">
        <f t="array" ref="G246">VALUE(INDEX(_xlfn.TEXTSPLIT(Table1[[#This Row],[Item]], "-"), 6))</f>
        <v>2</v>
      </c>
      <c r="H246" s="1" cm="1">
        <f t="array" ref="H246">VALUE(INDEX(_xlfn.TEXTSPLIT(Table1[[#This Row],[Item]], "-"), 7))</f>
        <v>0</v>
      </c>
      <c r="I24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46" s="1" t="str">
        <f>LEFT(RIGHT(Table1[[#This Row],[Item]],6),1)</f>
        <v>N</v>
      </c>
      <c r="K246" s="1" t="str">
        <f t="shared" si="3"/>
        <v>N</v>
      </c>
      <c r="L246" s="1" t="str">
        <f>RIGHT(Table1[[#This Row],[Item]],2)</f>
        <v>CA</v>
      </c>
      <c r="M246" s="1" t="s">
        <v>33</v>
      </c>
      <c r="N246" t="s">
        <v>264</v>
      </c>
      <c r="O246" s="1"/>
    </row>
    <row r="247" spans="1:15">
      <c r="A247" t="s">
        <v>265</v>
      </c>
      <c r="B247" s="1" t="str">
        <f>LEFT(Table1[[#This Row],[Item]], FIND("-", Table1[[#This Row],[Item]]) - 1)</f>
        <v>GX08</v>
      </c>
      <c r="C247" s="1" t="str">
        <f>MID(LEFT(Table1[[#This Row],[Item]], FIND("{token}", SUBSTITUTE(Table1[[#This Row],[Item]], "-", "{token}", 2)) - 1), FIND("-", Table1[[#This Row],[Item]]) + 1, LEN(Table1[[#This Row],[Item]]))</f>
        <v>C</v>
      </c>
      <c r="D24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4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47" s="1" cm="1">
        <f t="array" ref="F247">VALUE(INDEX(_xlfn.TEXTSPLIT(Table1[[#This Row],[Item]], "-"), 5))</f>
        <v>0</v>
      </c>
      <c r="G247" s="1" cm="1">
        <f t="array" ref="G247">VALUE(INDEX(_xlfn.TEXTSPLIT(Table1[[#This Row],[Item]], "-"), 6))</f>
        <v>1</v>
      </c>
      <c r="H247" s="1" cm="1">
        <f t="array" ref="H247">VALUE(INDEX(_xlfn.TEXTSPLIT(Table1[[#This Row],[Item]], "-"), 7))</f>
        <v>0</v>
      </c>
      <c r="I24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47" s="1" t="str">
        <f>LEFT(RIGHT(Table1[[#This Row],[Item]],6),1)</f>
        <v>N</v>
      </c>
      <c r="K247" s="1" t="str">
        <f t="shared" si="3"/>
        <v>N</v>
      </c>
      <c r="L247" s="1" t="str">
        <f>RIGHT(Table1[[#This Row],[Item]],2)</f>
        <v>CA</v>
      </c>
      <c r="M247" s="1" t="s">
        <v>33</v>
      </c>
      <c r="N247" t="s">
        <v>265</v>
      </c>
      <c r="O247" s="1"/>
    </row>
    <row r="248" spans="1:15">
      <c r="A248" t="s">
        <v>266</v>
      </c>
      <c r="B248" s="1" t="str">
        <f>LEFT(Table1[[#This Row],[Item]], FIND("-", Table1[[#This Row],[Item]]) - 1)</f>
        <v>GX14</v>
      </c>
      <c r="C248" s="1" t="str">
        <f>MID(LEFT(Table1[[#This Row],[Item]], FIND("{token}", SUBSTITUTE(Table1[[#This Row],[Item]], "-", "{token}", 2)) - 1), FIND("-", Table1[[#This Row],[Item]]) + 1, LEN(Table1[[#This Row],[Item]]))</f>
        <v>D</v>
      </c>
      <c r="D24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4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248" s="1" cm="1">
        <f t="array" ref="F248">VALUE(INDEX(_xlfn.TEXTSPLIT(Table1[[#This Row],[Item]], "-"), 5))</f>
        <v>2</v>
      </c>
      <c r="G248" s="1" cm="1">
        <f t="array" ref="G248">VALUE(INDEX(_xlfn.TEXTSPLIT(Table1[[#This Row],[Item]], "-"), 6))</f>
        <v>2</v>
      </c>
      <c r="H248" s="1" cm="1">
        <f t="array" ref="H248">VALUE(INDEX(_xlfn.TEXTSPLIT(Table1[[#This Row],[Item]], "-"), 7))</f>
        <v>0</v>
      </c>
      <c r="I24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48" s="1" t="str">
        <f>LEFT(RIGHT(Table1[[#This Row],[Item]],6),1)</f>
        <v>N</v>
      </c>
      <c r="K248" s="1" t="str">
        <f t="shared" si="3"/>
        <v>N</v>
      </c>
      <c r="L248" s="1" t="str">
        <f>RIGHT(Table1[[#This Row],[Item]],2)</f>
        <v>CA</v>
      </c>
      <c r="M248" s="1" t="s">
        <v>33</v>
      </c>
      <c r="N248" t="s">
        <v>266</v>
      </c>
      <c r="O248" s="1"/>
    </row>
    <row r="249" spans="1:15">
      <c r="A249" t="s">
        <v>267</v>
      </c>
      <c r="B249" s="1" t="str">
        <f>LEFT(Table1[[#This Row],[Item]], FIND("-", Table1[[#This Row],[Item]]) - 1)</f>
        <v>MA12</v>
      </c>
      <c r="C249" s="1" t="str">
        <f>MID(LEFT(Table1[[#This Row],[Item]], FIND("{token}", SUBSTITUTE(Table1[[#This Row],[Item]], "-", "{token}", 2)) - 1), FIND("-", Table1[[#This Row],[Item]]) + 1, LEN(Table1[[#This Row],[Item]]))</f>
        <v>D</v>
      </c>
      <c r="D24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4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49" s="1" cm="1">
        <f t="array" ref="F249">VALUE(INDEX(_xlfn.TEXTSPLIT(Table1[[#This Row],[Item]], "-"), 5))</f>
        <v>0</v>
      </c>
      <c r="G249" s="1" cm="1">
        <f t="array" ref="G249">VALUE(INDEX(_xlfn.TEXTSPLIT(Table1[[#This Row],[Item]], "-"), 6))</f>
        <v>0</v>
      </c>
      <c r="H249" s="1" cm="1">
        <f t="array" ref="H249">VALUE(INDEX(_xlfn.TEXTSPLIT(Table1[[#This Row],[Item]], "-"), 7))</f>
        <v>1</v>
      </c>
      <c r="I249" s="1" t="str">
        <f>MID(LEFT(Table1[[#This Row],[Item]], FIND("{token}", SUBSTITUTE(Table1[[#This Row],[Item]], "-", "{token}", 8)) - 1), FIND("{token}", SUBSTITUTE(Table1[[#This Row],[Item]], "-", "{token}", 7)) + 1, LEN(Table1[[#This Row],[Item]]))</f>
        <v>SPO</v>
      </c>
      <c r="J249" s="1" t="str">
        <f>LEFT(RIGHT(Table1[[#This Row],[Item]],6),1)</f>
        <v>Y</v>
      </c>
      <c r="K249" s="1" t="str">
        <f t="shared" si="3"/>
        <v>Y</v>
      </c>
      <c r="L249" s="1" t="str">
        <f>RIGHT(Table1[[#This Row],[Item]],2)</f>
        <v>CA</v>
      </c>
      <c r="M249" s="1" t="s">
        <v>33</v>
      </c>
      <c r="N249" s="3" t="s">
        <v>267</v>
      </c>
      <c r="O249" s="1"/>
    </row>
    <row r="250" spans="1:15">
      <c r="A250" t="s">
        <v>268</v>
      </c>
      <c r="B250" s="1" t="str">
        <f>LEFT(Table1[[#This Row],[Item]], FIND("-", Table1[[#This Row],[Item]]) - 1)</f>
        <v>ARB8</v>
      </c>
      <c r="C250" s="1" t="str">
        <f>MID(LEFT(Table1[[#This Row],[Item]], FIND("{token}", SUBSTITUTE(Table1[[#This Row],[Item]], "-", "{token}", 2)) - 1), FIND("-", Table1[[#This Row],[Item]]) + 1, LEN(Table1[[#This Row],[Item]]))</f>
        <v>L</v>
      </c>
      <c r="D250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25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250" s="1" cm="1">
        <f t="array" ref="F250">VALUE(INDEX(_xlfn.TEXTSPLIT(Table1[[#This Row],[Item]], "-"), 5))</f>
        <v>1</v>
      </c>
      <c r="G250" s="1" cm="1">
        <f t="array" ref="G250">VALUE(INDEX(_xlfn.TEXTSPLIT(Table1[[#This Row],[Item]], "-"), 6))</f>
        <v>0</v>
      </c>
      <c r="H250" s="1" cm="1">
        <f t="array" ref="H250">VALUE(INDEX(_xlfn.TEXTSPLIT(Table1[[#This Row],[Item]], "-"), 7))</f>
        <v>1</v>
      </c>
      <c r="I250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250" s="1" t="str">
        <f>LEFT(RIGHT(Table1[[#This Row],[Item]],6),1)</f>
        <v>Y</v>
      </c>
      <c r="K250" s="1" t="str">
        <f t="shared" si="3"/>
        <v>N</v>
      </c>
      <c r="L250" s="1" t="str">
        <f>RIGHT(Table1[[#This Row],[Item]],2)</f>
        <v>CA</v>
      </c>
      <c r="M250" s="1" t="s">
        <v>33</v>
      </c>
      <c r="N250" t="s">
        <v>268</v>
      </c>
      <c r="O250" s="1"/>
    </row>
    <row r="251" spans="1:15">
      <c r="A251" t="s">
        <v>269</v>
      </c>
      <c r="B251" s="1" t="str">
        <f>LEFT(Table1[[#This Row],[Item]], FIND("-", Table1[[#This Row],[Item]]) - 1)</f>
        <v>GX06</v>
      </c>
      <c r="C251" s="1" t="str">
        <f>MID(LEFT(Table1[[#This Row],[Item]], FIND("{token}", SUBSTITUTE(Table1[[#This Row],[Item]], "-", "{token}", 2)) - 1), FIND("-", Table1[[#This Row],[Item]]) + 1, LEN(Table1[[#This Row],[Item]]))</f>
        <v>RXL</v>
      </c>
      <c r="D25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5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51" s="1" cm="1">
        <f t="array" ref="F251">VALUE(INDEX(_xlfn.TEXTSPLIT(Table1[[#This Row],[Item]], "-"), 5))</f>
        <v>1</v>
      </c>
      <c r="G251" s="1" cm="1">
        <f t="array" ref="G251">VALUE(INDEX(_xlfn.TEXTSPLIT(Table1[[#This Row],[Item]], "-"), 6))</f>
        <v>1</v>
      </c>
      <c r="H251" s="1" cm="1">
        <f t="array" ref="H251">VALUE(INDEX(_xlfn.TEXTSPLIT(Table1[[#This Row],[Item]], "-"), 7))</f>
        <v>0</v>
      </c>
      <c r="I25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51" s="1" t="str">
        <f>LEFT(RIGHT(Table1[[#This Row],[Item]],6),1)</f>
        <v>N</v>
      </c>
      <c r="K251" s="1" t="str">
        <f t="shared" si="3"/>
        <v>N</v>
      </c>
      <c r="L251" s="1" t="str">
        <f>RIGHT(Table1[[#This Row],[Item]],2)</f>
        <v>CA</v>
      </c>
      <c r="M251" s="1" t="s">
        <v>33</v>
      </c>
      <c r="N251" t="s">
        <v>269</v>
      </c>
      <c r="O251" s="1"/>
    </row>
    <row r="252" spans="1:15">
      <c r="A252" t="s">
        <v>270</v>
      </c>
      <c r="B252" s="1" t="str">
        <f>LEFT(Table1[[#This Row],[Item]], FIND("-", Table1[[#This Row],[Item]]) - 1)</f>
        <v>GX12</v>
      </c>
      <c r="C252" s="1" t="str">
        <f>MID(LEFT(Table1[[#This Row],[Item]], FIND("{token}", SUBSTITUTE(Table1[[#This Row],[Item]], "-", "{token}", 2)) - 1), FIND("-", Table1[[#This Row],[Item]]) + 1, LEN(Table1[[#This Row],[Item]]))</f>
        <v>RXL</v>
      </c>
      <c r="D252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5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52" s="1" cm="1">
        <f t="array" ref="F252">VALUE(INDEX(_xlfn.TEXTSPLIT(Table1[[#This Row],[Item]], "-"), 5))</f>
        <v>1</v>
      </c>
      <c r="G252" s="1" cm="1">
        <f t="array" ref="G252">VALUE(INDEX(_xlfn.TEXTSPLIT(Table1[[#This Row],[Item]], "-"), 6))</f>
        <v>2</v>
      </c>
      <c r="H252" s="1" cm="1">
        <f t="array" ref="H252">VALUE(INDEX(_xlfn.TEXTSPLIT(Table1[[#This Row],[Item]], "-"), 7))</f>
        <v>0</v>
      </c>
      <c r="I25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52" s="1" t="str">
        <f>LEFT(RIGHT(Table1[[#This Row],[Item]],6),1)</f>
        <v>N</v>
      </c>
      <c r="K252" s="1" t="str">
        <f t="shared" si="3"/>
        <v>N</v>
      </c>
      <c r="L252" s="1" t="str">
        <f>RIGHT(Table1[[#This Row],[Item]],2)</f>
        <v>CA</v>
      </c>
      <c r="M252" s="1" t="s">
        <v>33</v>
      </c>
      <c r="N252" t="s">
        <v>270</v>
      </c>
      <c r="O252" s="1"/>
    </row>
    <row r="253" spans="1:15">
      <c r="A253" t="s">
        <v>271</v>
      </c>
      <c r="B253" s="1" t="str">
        <f>LEFT(Table1[[#This Row],[Item]], FIND("-", Table1[[#This Row],[Item]]) - 1)</f>
        <v>GX08</v>
      </c>
      <c r="C253" s="1" t="str">
        <f>MID(LEFT(Table1[[#This Row],[Item]], FIND("{token}", SUBSTITUTE(Table1[[#This Row],[Item]], "-", "{token}", 2)) - 1), FIND("-", Table1[[#This Row],[Item]]) + 1, LEN(Table1[[#This Row],[Item]]))</f>
        <v>N</v>
      </c>
      <c r="D25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5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53" s="1" cm="1">
        <f t="array" ref="F253">VALUE(INDEX(_xlfn.TEXTSPLIT(Table1[[#This Row],[Item]], "-"), 5))</f>
        <v>1</v>
      </c>
      <c r="G253" s="1" cm="1">
        <f t="array" ref="G253">VALUE(INDEX(_xlfn.TEXTSPLIT(Table1[[#This Row],[Item]], "-"), 6))</f>
        <v>1</v>
      </c>
      <c r="H253" s="1" cm="1">
        <f t="array" ref="H253">VALUE(INDEX(_xlfn.TEXTSPLIT(Table1[[#This Row],[Item]], "-"), 7))</f>
        <v>0</v>
      </c>
      <c r="I25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53" s="1" t="str">
        <f>LEFT(RIGHT(Table1[[#This Row],[Item]],6),1)</f>
        <v>N</v>
      </c>
      <c r="K253" s="1" t="str">
        <f t="shared" si="3"/>
        <v>N</v>
      </c>
      <c r="L253" s="1" t="str">
        <f>RIGHT(Table1[[#This Row],[Item]],2)</f>
        <v>CA</v>
      </c>
      <c r="M253" s="1" t="s">
        <v>33</v>
      </c>
      <c r="N253" t="s">
        <v>271</v>
      </c>
      <c r="O253" s="1"/>
    </row>
    <row r="254" spans="1:15">
      <c r="A254" t="s">
        <v>272</v>
      </c>
      <c r="B254" s="1" t="str">
        <f>LEFT(Table1[[#This Row],[Item]], FIND("-", Table1[[#This Row],[Item]]) - 1)</f>
        <v>GX08</v>
      </c>
      <c r="C254" s="1" t="str">
        <f>MID(LEFT(Table1[[#This Row],[Item]], FIND("{token}", SUBSTITUTE(Table1[[#This Row],[Item]], "-", "{token}", 2)) - 1), FIND("-", Table1[[#This Row],[Item]]) + 1, LEN(Table1[[#This Row],[Item]]))</f>
        <v>LXL</v>
      </c>
      <c r="D254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25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54" s="1" cm="1">
        <f t="array" ref="F254">VALUE(INDEX(_xlfn.TEXTSPLIT(Table1[[#This Row],[Item]], "-"), 5))</f>
        <v>1</v>
      </c>
      <c r="G254" s="1" cm="1">
        <f t="array" ref="G254">VALUE(INDEX(_xlfn.TEXTSPLIT(Table1[[#This Row],[Item]], "-"), 6))</f>
        <v>1</v>
      </c>
      <c r="H254" s="1" cm="1">
        <f t="array" ref="H254">VALUE(INDEX(_xlfn.TEXTSPLIT(Table1[[#This Row],[Item]], "-"), 7))</f>
        <v>0</v>
      </c>
      <c r="I25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54" s="1" t="str">
        <f>LEFT(RIGHT(Table1[[#This Row],[Item]],6),1)</f>
        <v>N</v>
      </c>
      <c r="K254" s="1" t="str">
        <f t="shared" si="3"/>
        <v>N</v>
      </c>
      <c r="L254" s="1" t="str">
        <f>RIGHT(Table1[[#This Row],[Item]],2)</f>
        <v>CA</v>
      </c>
      <c r="M254" s="1" t="s">
        <v>33</v>
      </c>
      <c r="N254" t="s">
        <v>272</v>
      </c>
      <c r="O254" s="1"/>
    </row>
    <row r="255" spans="1:15">
      <c r="A255" t="s">
        <v>273</v>
      </c>
      <c r="B255" s="1" t="str">
        <f>LEFT(Table1[[#This Row],[Item]], FIND("-", Table1[[#This Row],[Item]]) - 1)</f>
        <v>GX05</v>
      </c>
      <c r="C255" s="1" t="str">
        <f>MID(LEFT(Table1[[#This Row],[Item]], FIND("{token}", SUBSTITUTE(Table1[[#This Row],[Item]], "-", "{token}", 2)) - 1), FIND("-", Table1[[#This Row],[Item]]) + 1, LEN(Table1[[#This Row],[Item]]))</f>
        <v>R</v>
      </c>
      <c r="D25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5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55" s="1" cm="1">
        <f t="array" ref="F255">VALUE(INDEX(_xlfn.TEXTSPLIT(Table1[[#This Row],[Item]], "-"), 5))</f>
        <v>0</v>
      </c>
      <c r="G255" s="1" cm="1">
        <f t="array" ref="G255">VALUE(INDEX(_xlfn.TEXTSPLIT(Table1[[#This Row],[Item]], "-"), 6))</f>
        <v>0</v>
      </c>
      <c r="H255" s="1" cm="1">
        <f t="array" ref="H255">VALUE(INDEX(_xlfn.TEXTSPLIT(Table1[[#This Row],[Item]], "-"), 7))</f>
        <v>0</v>
      </c>
      <c r="I25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55" s="1" t="str">
        <f>LEFT(RIGHT(Table1[[#This Row],[Item]],6),1)</f>
        <v>N</v>
      </c>
      <c r="K255" s="1" t="str">
        <f t="shared" si="3"/>
        <v>N</v>
      </c>
      <c r="L255" s="1" t="str">
        <f>RIGHT(Table1[[#This Row],[Item]],2)</f>
        <v>CA</v>
      </c>
      <c r="M255" s="1" t="s">
        <v>33</v>
      </c>
      <c r="N255" t="s">
        <v>273</v>
      </c>
      <c r="O255" s="1"/>
    </row>
    <row r="256" spans="1:15">
      <c r="A256" t="s">
        <v>274</v>
      </c>
      <c r="B256" s="1" t="str">
        <f>LEFT(Table1[[#This Row],[Item]], FIND("-", Table1[[#This Row],[Item]]) - 1)</f>
        <v>GX10</v>
      </c>
      <c r="C256" s="1" t="str">
        <f>MID(LEFT(Table1[[#This Row],[Item]], FIND("{token}", SUBSTITUTE(Table1[[#This Row],[Item]], "-", "{token}", 2)) - 1), FIND("-", Table1[[#This Row],[Item]]) + 1, LEN(Table1[[#This Row],[Item]]))</f>
        <v>D</v>
      </c>
      <c r="D256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5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D2</v>
      </c>
      <c r="F256" s="1" cm="1">
        <f t="array" ref="F256">VALUE(INDEX(_xlfn.TEXTSPLIT(Table1[[#This Row],[Item]], "-"), 5))</f>
        <v>1</v>
      </c>
      <c r="G256" s="1" cm="1">
        <f t="array" ref="G256">VALUE(INDEX(_xlfn.TEXTSPLIT(Table1[[#This Row],[Item]], "-"), 6))</f>
        <v>1</v>
      </c>
      <c r="H256" s="1" cm="1">
        <f t="array" ref="H256">VALUE(INDEX(_xlfn.TEXTSPLIT(Table1[[#This Row],[Item]], "-"), 7))</f>
        <v>0</v>
      </c>
      <c r="I25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56" s="1" t="str">
        <f>LEFT(RIGHT(Table1[[#This Row],[Item]],6),1)</f>
        <v>N</v>
      </c>
      <c r="K256" s="1" t="str">
        <f t="shared" si="3"/>
        <v>N</v>
      </c>
      <c r="L256" s="1" t="str">
        <f>RIGHT(Table1[[#This Row],[Item]],2)</f>
        <v>CA</v>
      </c>
      <c r="M256" s="1" t="s">
        <v>33</v>
      </c>
      <c r="N256" t="s">
        <v>274</v>
      </c>
      <c r="O256" s="1"/>
    </row>
    <row r="257" spans="1:15">
      <c r="A257" t="s">
        <v>275</v>
      </c>
      <c r="B257" s="1" t="str">
        <f>LEFT(Table1[[#This Row],[Item]], FIND("-", Table1[[#This Row],[Item]]) - 1)</f>
        <v>GX08</v>
      </c>
      <c r="C257" s="1" t="str">
        <f>MID(LEFT(Table1[[#This Row],[Item]], FIND("{token}", SUBSTITUTE(Table1[[#This Row],[Item]], "-", "{token}", 2)) - 1), FIND("-", Table1[[#This Row],[Item]]) + 1, LEN(Table1[[#This Row],[Item]]))</f>
        <v>RXL</v>
      </c>
      <c r="D25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5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257" s="1" cm="1">
        <f t="array" ref="F257">VALUE(INDEX(_xlfn.TEXTSPLIT(Table1[[#This Row],[Item]], "-"), 5))</f>
        <v>1</v>
      </c>
      <c r="G257" s="1" cm="1">
        <f t="array" ref="G257">VALUE(INDEX(_xlfn.TEXTSPLIT(Table1[[#This Row],[Item]], "-"), 6))</f>
        <v>1</v>
      </c>
      <c r="H257" s="1" cm="1">
        <f t="array" ref="H257">VALUE(INDEX(_xlfn.TEXTSPLIT(Table1[[#This Row],[Item]], "-"), 7))</f>
        <v>0</v>
      </c>
      <c r="I25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57" s="1" t="str">
        <f>LEFT(RIGHT(Table1[[#This Row],[Item]],6),1)</f>
        <v>N</v>
      </c>
      <c r="K257" s="1" t="str">
        <f t="shared" si="3"/>
        <v>N</v>
      </c>
      <c r="L257" s="1" t="str">
        <f>RIGHT(Table1[[#This Row],[Item]],2)</f>
        <v>CA</v>
      </c>
      <c r="M257" s="1" t="s">
        <v>33</v>
      </c>
      <c r="N257" t="s">
        <v>275</v>
      </c>
      <c r="O257" s="1"/>
    </row>
    <row r="258" spans="1:15">
      <c r="A258" t="s">
        <v>276</v>
      </c>
      <c r="B258" s="1" t="str">
        <f>LEFT(Table1[[#This Row],[Item]], FIND("-", Table1[[#This Row],[Item]]) - 1)</f>
        <v>STT7</v>
      </c>
      <c r="C258" s="1" t="str">
        <f>MID(LEFT(Table1[[#This Row],[Item]], FIND("{token}", SUBSTITUTE(Table1[[#This Row],[Item]], "-", "{token}", 2)) - 1), FIND("-", Table1[[#This Row],[Item]]) + 1, LEN(Table1[[#This Row],[Item]]))</f>
        <v>N</v>
      </c>
      <c r="D25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5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58" s="1" cm="1">
        <f t="array" ref="F258">VALUE(INDEX(_xlfn.TEXTSPLIT(Table1[[#This Row],[Item]], "-"), 5))</f>
        <v>0</v>
      </c>
      <c r="G258" s="1" cm="1">
        <f t="array" ref="G258">VALUE(INDEX(_xlfn.TEXTSPLIT(Table1[[#This Row],[Item]], "-"), 6))</f>
        <v>0</v>
      </c>
      <c r="H258" s="1" cm="1">
        <f t="array" ref="H258">VALUE(INDEX(_xlfn.TEXTSPLIT(Table1[[#This Row],[Item]], "-"), 7))</f>
        <v>0</v>
      </c>
      <c r="I25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58" s="1" t="str">
        <f>LEFT(RIGHT(Table1[[#This Row],[Item]],6),1)</f>
        <v>Y</v>
      </c>
      <c r="K258" s="1" t="str">
        <f t="shared" ref="K258:K321" si="4">MID(A258, LEN(A258)-3, 1)</f>
        <v>N</v>
      </c>
      <c r="L258" s="1" t="str">
        <f>RIGHT(Table1[[#This Row],[Item]],2)</f>
        <v>CA</v>
      </c>
      <c r="M258" s="1" t="s">
        <v>33</v>
      </c>
      <c r="N258" t="s">
        <v>276</v>
      </c>
      <c r="O258" s="1"/>
    </row>
    <row r="259" spans="1:15">
      <c r="A259" t="s">
        <v>277</v>
      </c>
      <c r="B259" s="1" t="str">
        <f>LEFT(Table1[[#This Row],[Item]], FIND("-", Table1[[#This Row],[Item]]) - 1)</f>
        <v>GX10</v>
      </c>
      <c r="C259" s="1" t="str">
        <f>MID(LEFT(Table1[[#This Row],[Item]], FIND("{token}", SUBSTITUTE(Table1[[#This Row],[Item]], "-", "{token}", 2)) - 1), FIND("-", Table1[[#This Row],[Item]]) + 1, LEN(Table1[[#This Row],[Item]]))</f>
        <v>D</v>
      </c>
      <c r="D259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25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259" s="1" cm="1">
        <f t="array" ref="F259">VALUE(INDEX(_xlfn.TEXTSPLIT(Table1[[#This Row],[Item]], "-"), 5))</f>
        <v>1</v>
      </c>
      <c r="G259" s="1" cm="1">
        <f t="array" ref="G259">VALUE(INDEX(_xlfn.TEXTSPLIT(Table1[[#This Row],[Item]], "-"), 6))</f>
        <v>1</v>
      </c>
      <c r="H259" s="1" cm="1">
        <f t="array" ref="H259">VALUE(INDEX(_xlfn.TEXTSPLIT(Table1[[#This Row],[Item]], "-"), 7))</f>
        <v>0</v>
      </c>
      <c r="I25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59" s="1" t="str">
        <f>LEFT(RIGHT(Table1[[#This Row],[Item]],6),1)</f>
        <v>N</v>
      </c>
      <c r="K259" s="1" t="str">
        <f t="shared" si="4"/>
        <v>N</v>
      </c>
      <c r="L259" s="1" t="str">
        <f>RIGHT(Table1[[#This Row],[Item]],2)</f>
        <v>CA</v>
      </c>
      <c r="M259" s="1" t="s">
        <v>33</v>
      </c>
      <c r="N259" t="s">
        <v>277</v>
      </c>
      <c r="O259" s="1"/>
    </row>
    <row r="260" spans="1:15">
      <c r="A260" t="s">
        <v>278</v>
      </c>
      <c r="B260" s="1" t="str">
        <f>LEFT(Table1[[#This Row],[Item]], FIND("-", Table1[[#This Row],[Item]]) - 1)</f>
        <v>ARB8</v>
      </c>
      <c r="C260" s="1" t="str">
        <f>MID(LEFT(Table1[[#This Row],[Item]], FIND("{token}", SUBSTITUTE(Table1[[#This Row],[Item]], "-", "{token}", 2)) - 1), FIND("-", Table1[[#This Row],[Item]]) + 1, LEN(Table1[[#This Row],[Item]]))</f>
        <v>LXL</v>
      </c>
      <c r="D26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6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260" s="1" cm="1">
        <f t="array" ref="F260">VALUE(INDEX(_xlfn.TEXTSPLIT(Table1[[#This Row],[Item]], "-"), 5))</f>
        <v>1</v>
      </c>
      <c r="G260" s="1" cm="1">
        <f t="array" ref="G260">VALUE(INDEX(_xlfn.TEXTSPLIT(Table1[[#This Row],[Item]], "-"), 6))</f>
        <v>0</v>
      </c>
      <c r="H260" s="1" cm="1">
        <f t="array" ref="H260">VALUE(INDEX(_xlfn.TEXTSPLIT(Table1[[#This Row],[Item]], "-"), 7))</f>
        <v>1</v>
      </c>
      <c r="I260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260" s="1" t="str">
        <f>LEFT(RIGHT(Table1[[#This Row],[Item]],6),1)</f>
        <v>Y</v>
      </c>
      <c r="K260" s="1" t="str">
        <f t="shared" si="4"/>
        <v>Y</v>
      </c>
      <c r="L260" s="1" t="str">
        <f>RIGHT(Table1[[#This Row],[Item]],2)</f>
        <v>CA</v>
      </c>
      <c r="M260" s="1" t="s">
        <v>33</v>
      </c>
      <c r="N260" t="s">
        <v>278</v>
      </c>
      <c r="O260" s="1"/>
    </row>
    <row r="261" spans="1:15">
      <c r="A261" t="s">
        <v>279</v>
      </c>
      <c r="B261" s="1" t="str">
        <f>LEFT(Table1[[#This Row],[Item]], FIND("-", Table1[[#This Row],[Item]]) - 1)</f>
        <v>STT9</v>
      </c>
      <c r="C261" s="1" t="str">
        <f>MID(LEFT(Table1[[#This Row],[Item]], FIND("{token}", SUBSTITUTE(Table1[[#This Row],[Item]], "-", "{token}", 2)) - 1), FIND("-", Table1[[#This Row],[Item]]) + 1, LEN(Table1[[#This Row],[Item]]))</f>
        <v>N</v>
      </c>
      <c r="D26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6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61" s="1" cm="1">
        <f t="array" ref="F261">VALUE(INDEX(_xlfn.TEXTSPLIT(Table1[[#This Row],[Item]], "-"), 5))</f>
        <v>0</v>
      </c>
      <c r="G261" s="1" cm="1">
        <f t="array" ref="G261">VALUE(INDEX(_xlfn.TEXTSPLIT(Table1[[#This Row],[Item]], "-"), 6))</f>
        <v>0</v>
      </c>
      <c r="H261" s="1" cm="1">
        <f t="array" ref="H261">VALUE(INDEX(_xlfn.TEXTSPLIT(Table1[[#This Row],[Item]], "-"), 7))</f>
        <v>0</v>
      </c>
      <c r="I26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61" s="1" t="str">
        <f>LEFT(RIGHT(Table1[[#This Row],[Item]],6),1)</f>
        <v>N</v>
      </c>
      <c r="K261" s="1" t="str">
        <f t="shared" si="4"/>
        <v>Y</v>
      </c>
      <c r="L261" s="1" t="str">
        <f>RIGHT(Table1[[#This Row],[Item]],2)</f>
        <v>CA</v>
      </c>
      <c r="M261" s="1" t="s">
        <v>33</v>
      </c>
      <c r="N261" t="s">
        <v>279</v>
      </c>
      <c r="O261" s="1"/>
    </row>
    <row r="262" spans="1:15">
      <c r="A262" t="s">
        <v>280</v>
      </c>
      <c r="B262" s="1" t="str">
        <f>LEFT(Table1[[#This Row],[Item]], FIND("-", Table1[[#This Row],[Item]]) - 1)</f>
        <v>GX10</v>
      </c>
      <c r="C262" s="1" t="str">
        <f>MID(LEFT(Table1[[#This Row],[Item]], FIND("{token}", SUBSTITUTE(Table1[[#This Row],[Item]], "-", "{token}", 2)) - 1), FIND("-", Table1[[#This Row],[Item]]) + 1, LEN(Table1[[#This Row],[Item]]))</f>
        <v>CXL</v>
      </c>
      <c r="D262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26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262" s="1" cm="1">
        <f t="array" ref="F262">VALUE(INDEX(_xlfn.TEXTSPLIT(Table1[[#This Row],[Item]], "-"), 5))</f>
        <v>1</v>
      </c>
      <c r="G262" s="1" cm="1">
        <f t="array" ref="G262">VALUE(INDEX(_xlfn.TEXTSPLIT(Table1[[#This Row],[Item]], "-"), 6))</f>
        <v>1</v>
      </c>
      <c r="H262" s="1" cm="1">
        <f t="array" ref="H262">VALUE(INDEX(_xlfn.TEXTSPLIT(Table1[[#This Row],[Item]], "-"), 7))</f>
        <v>1</v>
      </c>
      <c r="I26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62" s="1" t="str">
        <f>LEFT(RIGHT(Table1[[#This Row],[Item]],6),1)</f>
        <v>N</v>
      </c>
      <c r="K262" s="1" t="str">
        <f t="shared" si="4"/>
        <v>N</v>
      </c>
      <c r="L262" s="1" t="str">
        <f>RIGHT(Table1[[#This Row],[Item]],2)</f>
        <v>CA</v>
      </c>
      <c r="M262" s="1" t="s">
        <v>33</v>
      </c>
      <c r="N262" t="s">
        <v>280</v>
      </c>
      <c r="O262" s="1"/>
    </row>
    <row r="263" spans="1:15">
      <c r="A263" t="s">
        <v>281</v>
      </c>
      <c r="B263" s="1" t="str">
        <f>LEFT(Table1[[#This Row],[Item]], FIND("-", Table1[[#This Row],[Item]]) - 1)</f>
        <v>GX14</v>
      </c>
      <c r="C263" s="1" t="str">
        <f>MID(LEFT(Table1[[#This Row],[Item]], FIND("{token}", SUBSTITUTE(Table1[[#This Row],[Item]], "-", "{token}", 2)) - 1), FIND("-", Table1[[#This Row],[Item]]) + 1, LEN(Table1[[#This Row],[Item]]))</f>
        <v>L</v>
      </c>
      <c r="D26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6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63" s="1" cm="1">
        <f t="array" ref="F263">VALUE(INDEX(_xlfn.TEXTSPLIT(Table1[[#This Row],[Item]], "-"), 5))</f>
        <v>1</v>
      </c>
      <c r="G263" s="1" cm="1">
        <f t="array" ref="G263">VALUE(INDEX(_xlfn.TEXTSPLIT(Table1[[#This Row],[Item]], "-"), 6))</f>
        <v>2</v>
      </c>
      <c r="H263" s="1" cm="1">
        <f t="array" ref="H263">VALUE(INDEX(_xlfn.TEXTSPLIT(Table1[[#This Row],[Item]], "-"), 7))</f>
        <v>0</v>
      </c>
      <c r="I26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63" s="1" t="str">
        <f>LEFT(RIGHT(Table1[[#This Row],[Item]],6),1)</f>
        <v>N</v>
      </c>
      <c r="K263" s="1" t="str">
        <f t="shared" si="4"/>
        <v>N</v>
      </c>
      <c r="L263" s="1" t="str">
        <f>RIGHT(Table1[[#This Row],[Item]],2)</f>
        <v>CA</v>
      </c>
      <c r="M263" s="1" t="s">
        <v>33</v>
      </c>
      <c r="N263" t="s">
        <v>281</v>
      </c>
      <c r="O263" s="1"/>
    </row>
    <row r="264" spans="1:15">
      <c r="A264" t="s">
        <v>282</v>
      </c>
      <c r="B264" s="1" t="str">
        <f>LEFT(Table1[[#This Row],[Item]], FIND("-", Table1[[#This Row],[Item]]) - 1)</f>
        <v>GX10</v>
      </c>
      <c r="C264" s="1" t="str">
        <f>MID(LEFT(Table1[[#This Row],[Item]], FIND("{token}", SUBSTITUTE(Table1[[#This Row],[Item]], "-", "{token}", 2)) - 1), FIND("-", Table1[[#This Row],[Item]]) + 1, LEN(Table1[[#This Row],[Item]]))</f>
        <v>D</v>
      </c>
      <c r="D264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6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264" s="1" cm="1">
        <f t="array" ref="F264">VALUE(INDEX(_xlfn.TEXTSPLIT(Table1[[#This Row],[Item]], "-"), 5))</f>
        <v>0</v>
      </c>
      <c r="G264" s="1" cm="1">
        <f t="array" ref="G264">VALUE(INDEX(_xlfn.TEXTSPLIT(Table1[[#This Row],[Item]], "-"), 6))</f>
        <v>1</v>
      </c>
      <c r="H264" s="1" cm="1">
        <f t="array" ref="H264">VALUE(INDEX(_xlfn.TEXTSPLIT(Table1[[#This Row],[Item]], "-"), 7))</f>
        <v>0</v>
      </c>
      <c r="I26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64" s="1" t="str">
        <f>LEFT(RIGHT(Table1[[#This Row],[Item]],6),1)</f>
        <v>N</v>
      </c>
      <c r="K264" s="1" t="str">
        <f t="shared" si="4"/>
        <v>N</v>
      </c>
      <c r="L264" s="1" t="str">
        <f>RIGHT(Table1[[#This Row],[Item]],2)</f>
        <v>CA</v>
      </c>
      <c r="M264" s="1" t="s">
        <v>33</v>
      </c>
      <c r="N264" t="s">
        <v>282</v>
      </c>
      <c r="O264" s="1"/>
    </row>
    <row r="265" spans="1:15">
      <c r="A265" t="s">
        <v>283</v>
      </c>
      <c r="B265" s="1" t="str">
        <f>LEFT(Table1[[#This Row],[Item]], FIND("-", Table1[[#This Row],[Item]]) - 1)</f>
        <v>GX09</v>
      </c>
      <c r="C265" s="1" t="str">
        <f>MID(LEFT(Table1[[#This Row],[Item]], FIND("{token}", SUBSTITUTE(Table1[[#This Row],[Item]], "-", "{token}", 2)) - 1), FIND("-", Table1[[#This Row],[Item]]) + 1, LEN(Table1[[#This Row],[Item]]))</f>
        <v>D</v>
      </c>
      <c r="D265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26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265" s="1" cm="1">
        <f t="array" ref="F265">VALUE(INDEX(_xlfn.TEXTSPLIT(Table1[[#This Row],[Item]], "-"), 5))</f>
        <v>0</v>
      </c>
      <c r="G265" s="1" cm="1">
        <f t="array" ref="G265">VALUE(INDEX(_xlfn.TEXTSPLIT(Table1[[#This Row],[Item]], "-"), 6))</f>
        <v>1</v>
      </c>
      <c r="H265" s="1" cm="1">
        <f t="array" ref="H265">VALUE(INDEX(_xlfn.TEXTSPLIT(Table1[[#This Row],[Item]], "-"), 7))</f>
        <v>0</v>
      </c>
      <c r="I26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65" s="1" t="str">
        <f>LEFT(RIGHT(Table1[[#This Row],[Item]],6),1)</f>
        <v>N</v>
      </c>
      <c r="K265" s="1" t="str">
        <f t="shared" si="4"/>
        <v>N</v>
      </c>
      <c r="L265" s="1" t="str">
        <f>RIGHT(Table1[[#This Row],[Item]],2)</f>
        <v>CA</v>
      </c>
      <c r="M265" s="1" t="s">
        <v>33</v>
      </c>
      <c r="N265" t="s">
        <v>283</v>
      </c>
      <c r="O265" s="1"/>
    </row>
    <row r="266" spans="1:15">
      <c r="A266" t="s">
        <v>284</v>
      </c>
      <c r="B266" s="1" t="str">
        <f>LEFT(Table1[[#This Row],[Item]], FIND("-", Table1[[#This Row],[Item]]) - 1)</f>
        <v>GX10</v>
      </c>
      <c r="C266" s="1" t="str">
        <f>MID(LEFT(Table1[[#This Row],[Item]], FIND("{token}", SUBSTITUTE(Table1[[#This Row],[Item]], "-", "{token}", 2)) - 1), FIND("-", Table1[[#This Row],[Item]]) + 1, LEN(Table1[[#This Row],[Item]]))</f>
        <v>C</v>
      </c>
      <c r="D26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6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66" s="1" cm="1">
        <f t="array" ref="F266">VALUE(INDEX(_xlfn.TEXTSPLIT(Table1[[#This Row],[Item]], "-"), 5))</f>
        <v>2</v>
      </c>
      <c r="G266" s="1" cm="1">
        <f t="array" ref="G266">VALUE(INDEX(_xlfn.TEXTSPLIT(Table1[[#This Row],[Item]], "-"), 6))</f>
        <v>0</v>
      </c>
      <c r="H266" s="1" cm="1">
        <f t="array" ref="H266">VALUE(INDEX(_xlfn.TEXTSPLIT(Table1[[#This Row],[Item]], "-"), 7))</f>
        <v>0</v>
      </c>
      <c r="I26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66" s="1" t="str">
        <f>LEFT(RIGHT(Table1[[#This Row],[Item]],6),1)</f>
        <v>N</v>
      </c>
      <c r="K266" s="1" t="str">
        <f t="shared" si="4"/>
        <v>N</v>
      </c>
      <c r="L266" s="1" t="str">
        <f>RIGHT(Table1[[#This Row],[Item]],2)</f>
        <v>CA</v>
      </c>
      <c r="M266" s="1" t="s">
        <v>33</v>
      </c>
      <c r="N266" t="s">
        <v>284</v>
      </c>
      <c r="O266" s="1"/>
    </row>
    <row r="267" spans="1:15">
      <c r="A267" t="s">
        <v>285</v>
      </c>
      <c r="B267" s="1" t="str">
        <f>LEFT(Table1[[#This Row],[Item]], FIND("-", Table1[[#This Row],[Item]]) - 1)</f>
        <v>STT9</v>
      </c>
      <c r="C267" s="1" t="str">
        <f>MID(LEFT(Table1[[#This Row],[Item]], FIND("{token}", SUBSTITUTE(Table1[[#This Row],[Item]], "-", "{token}", 2)) - 1), FIND("-", Table1[[#This Row],[Item]]) + 1, LEN(Table1[[#This Row],[Item]]))</f>
        <v>N</v>
      </c>
      <c r="D26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6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67" s="1" cm="1">
        <f t="array" ref="F267">VALUE(INDEX(_xlfn.TEXTSPLIT(Table1[[#This Row],[Item]], "-"), 5))</f>
        <v>0</v>
      </c>
      <c r="G267" s="1" cm="1">
        <f t="array" ref="G267">VALUE(INDEX(_xlfn.TEXTSPLIT(Table1[[#This Row],[Item]], "-"), 6))</f>
        <v>0</v>
      </c>
      <c r="H267" s="1" cm="1">
        <f t="array" ref="H267">VALUE(INDEX(_xlfn.TEXTSPLIT(Table1[[#This Row],[Item]], "-"), 7))</f>
        <v>0</v>
      </c>
      <c r="I267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267" s="1" t="str">
        <f>LEFT(RIGHT(Table1[[#This Row],[Item]],6),1)</f>
        <v>Y</v>
      </c>
      <c r="K267" s="1" t="str">
        <f t="shared" si="4"/>
        <v>N</v>
      </c>
      <c r="L267" s="1" t="str">
        <f>RIGHT(Table1[[#This Row],[Item]],2)</f>
        <v>CA</v>
      </c>
      <c r="M267" s="1" t="s">
        <v>33</v>
      </c>
      <c r="N267" t="s">
        <v>285</v>
      </c>
      <c r="O267" s="1"/>
    </row>
    <row r="268" spans="1:15">
      <c r="A268" t="s">
        <v>286</v>
      </c>
      <c r="B268" s="1" t="str">
        <f>LEFT(Table1[[#This Row],[Item]], FIND("-", Table1[[#This Row],[Item]]) - 1)</f>
        <v>GX05</v>
      </c>
      <c r="C268" s="1" t="str">
        <f>MID(LEFT(Table1[[#This Row],[Item]], FIND("{token}", SUBSTITUTE(Table1[[#This Row],[Item]], "-", "{token}", 2)) - 1), FIND("-", Table1[[#This Row],[Item]]) + 1, LEN(Table1[[#This Row],[Item]]))</f>
        <v>CXL</v>
      </c>
      <c r="D26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6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68" s="1" cm="1">
        <f t="array" ref="F268">VALUE(INDEX(_xlfn.TEXTSPLIT(Table1[[#This Row],[Item]], "-"), 5))</f>
        <v>0</v>
      </c>
      <c r="G268" s="1" cm="1">
        <f t="array" ref="G268">VALUE(INDEX(_xlfn.TEXTSPLIT(Table1[[#This Row],[Item]], "-"), 6))</f>
        <v>0</v>
      </c>
      <c r="H268" s="1" cm="1">
        <f t="array" ref="H268">VALUE(INDEX(_xlfn.TEXTSPLIT(Table1[[#This Row],[Item]], "-"), 7))</f>
        <v>0</v>
      </c>
      <c r="I26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68" s="1" t="str">
        <f>LEFT(RIGHT(Table1[[#This Row],[Item]],6),1)</f>
        <v>N</v>
      </c>
      <c r="K268" s="1" t="str">
        <f t="shared" si="4"/>
        <v>N</v>
      </c>
      <c r="L268" s="1" t="str">
        <f>RIGHT(Table1[[#This Row],[Item]],2)</f>
        <v>CA</v>
      </c>
      <c r="M268" s="1" t="s">
        <v>33</v>
      </c>
      <c r="N268" t="s">
        <v>286</v>
      </c>
      <c r="O268" s="1"/>
    </row>
    <row r="269" spans="1:15">
      <c r="A269" t="s">
        <v>287</v>
      </c>
      <c r="B269" s="1" t="str">
        <f>LEFT(Table1[[#This Row],[Item]], FIND("-", Table1[[#This Row],[Item]]) - 1)</f>
        <v>GX05</v>
      </c>
      <c r="C269" s="1" t="str">
        <f>MID(LEFT(Table1[[#This Row],[Item]], FIND("{token}", SUBSTITUTE(Table1[[#This Row],[Item]], "-", "{token}", 2)) - 1), FIND("-", Table1[[#This Row],[Item]]) + 1, LEN(Table1[[#This Row],[Item]]))</f>
        <v>N</v>
      </c>
      <c r="D26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6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269" s="1" cm="1">
        <f t="array" ref="F269">VALUE(INDEX(_xlfn.TEXTSPLIT(Table1[[#This Row],[Item]], "-"), 5))</f>
        <v>1</v>
      </c>
      <c r="G269" s="1" cm="1">
        <f t="array" ref="G269">VALUE(INDEX(_xlfn.TEXTSPLIT(Table1[[#This Row],[Item]], "-"), 6))</f>
        <v>1</v>
      </c>
      <c r="H269" s="1" cm="1">
        <f t="array" ref="H269">VALUE(INDEX(_xlfn.TEXTSPLIT(Table1[[#This Row],[Item]], "-"), 7))</f>
        <v>0</v>
      </c>
      <c r="I26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69" s="1" t="str">
        <f>LEFT(RIGHT(Table1[[#This Row],[Item]],6),1)</f>
        <v>N</v>
      </c>
      <c r="K269" s="1" t="str">
        <f t="shared" si="4"/>
        <v>N</v>
      </c>
      <c r="L269" s="1" t="str">
        <f>RIGHT(Table1[[#This Row],[Item]],2)</f>
        <v>CA</v>
      </c>
      <c r="M269" s="1" t="s">
        <v>33</v>
      </c>
      <c r="N269" t="s">
        <v>287</v>
      </c>
      <c r="O269" s="1"/>
    </row>
    <row r="270" spans="1:15">
      <c r="A270" t="s">
        <v>288</v>
      </c>
      <c r="B270" s="1" t="str">
        <f>LEFT(Table1[[#This Row],[Item]], FIND("-", Table1[[#This Row],[Item]]) - 1)</f>
        <v>MA12</v>
      </c>
      <c r="C270" s="1" t="str">
        <f>MID(LEFT(Table1[[#This Row],[Item]], FIND("{token}", SUBSTITUTE(Table1[[#This Row],[Item]], "-", "{token}", 2)) - 1), FIND("-", Table1[[#This Row],[Item]]) + 1, LEN(Table1[[#This Row],[Item]]))</f>
        <v>C</v>
      </c>
      <c r="D27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7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270" s="1" cm="1">
        <f t="array" ref="F270">VALUE(INDEX(_xlfn.TEXTSPLIT(Table1[[#This Row],[Item]], "-"), 5))</f>
        <v>2</v>
      </c>
      <c r="G270" s="1" cm="1">
        <f t="array" ref="G270">VALUE(INDEX(_xlfn.TEXTSPLIT(Table1[[#This Row],[Item]], "-"), 6))</f>
        <v>0</v>
      </c>
      <c r="H270" s="1" cm="1">
        <f t="array" ref="H270">VALUE(INDEX(_xlfn.TEXTSPLIT(Table1[[#This Row],[Item]], "-"), 7))</f>
        <v>0</v>
      </c>
      <c r="I270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70" s="1" t="str">
        <f>LEFT(RIGHT(Table1[[#This Row],[Item]],6),1)</f>
        <v>Y</v>
      </c>
      <c r="K270" s="1" t="str">
        <f t="shared" si="4"/>
        <v>Y</v>
      </c>
      <c r="L270" s="1" t="str">
        <f>RIGHT(Table1[[#This Row],[Item]],2)</f>
        <v>CA</v>
      </c>
      <c r="M270" s="1" t="s">
        <v>33</v>
      </c>
      <c r="N270" t="s">
        <v>288</v>
      </c>
      <c r="O270" s="1"/>
    </row>
    <row r="271" spans="1:15">
      <c r="A271" t="s">
        <v>289</v>
      </c>
      <c r="B271" s="1" t="str">
        <f>LEFT(Table1[[#This Row],[Item]], FIND("-", Table1[[#This Row],[Item]]) - 1)</f>
        <v>STT7</v>
      </c>
      <c r="C271" s="1" t="str">
        <f>MID(LEFT(Table1[[#This Row],[Item]], FIND("{token}", SUBSTITUTE(Table1[[#This Row],[Item]], "-", "{token}", 2)) - 1), FIND("-", Table1[[#This Row],[Item]]) + 1, LEN(Table1[[#This Row],[Item]]))</f>
        <v>N</v>
      </c>
      <c r="D27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7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71" s="1" cm="1">
        <f t="array" ref="F271">VALUE(INDEX(_xlfn.TEXTSPLIT(Table1[[#This Row],[Item]], "-"), 5))</f>
        <v>0</v>
      </c>
      <c r="G271" s="1" cm="1">
        <f t="array" ref="G271">VALUE(INDEX(_xlfn.TEXTSPLIT(Table1[[#This Row],[Item]], "-"), 6))</f>
        <v>0</v>
      </c>
      <c r="H271" s="1" cm="1">
        <f t="array" ref="H271">VALUE(INDEX(_xlfn.TEXTSPLIT(Table1[[#This Row],[Item]], "-"), 7))</f>
        <v>0</v>
      </c>
      <c r="I27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71" s="1" t="str">
        <f>LEFT(RIGHT(Table1[[#This Row],[Item]],6),1)</f>
        <v>Y</v>
      </c>
      <c r="K271" s="1" t="str">
        <f t="shared" si="4"/>
        <v>Y</v>
      </c>
      <c r="L271" s="1" t="str">
        <f>RIGHT(Table1[[#This Row],[Item]],2)</f>
        <v>CA</v>
      </c>
      <c r="M271" s="1" t="s">
        <v>33</v>
      </c>
      <c r="N271" t="s">
        <v>289</v>
      </c>
      <c r="O271" s="1"/>
    </row>
    <row r="272" spans="1:15">
      <c r="A272" t="s">
        <v>290</v>
      </c>
      <c r="B272" s="1" t="str">
        <f>LEFT(Table1[[#This Row],[Item]], FIND("-", Table1[[#This Row],[Item]]) - 1)</f>
        <v>GX09</v>
      </c>
      <c r="C272" s="1" t="str">
        <f>MID(LEFT(Table1[[#This Row],[Item]], FIND("{token}", SUBSTITUTE(Table1[[#This Row],[Item]], "-", "{token}", 2)) - 1), FIND("-", Table1[[#This Row],[Item]]) + 1, LEN(Table1[[#This Row],[Item]]))</f>
        <v>R</v>
      </c>
      <c r="D272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27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72" s="1" cm="1">
        <f t="array" ref="F272">VALUE(INDEX(_xlfn.TEXTSPLIT(Table1[[#This Row],[Item]], "-"), 5))</f>
        <v>0</v>
      </c>
      <c r="G272" s="1" cm="1">
        <f t="array" ref="G272">VALUE(INDEX(_xlfn.TEXTSPLIT(Table1[[#This Row],[Item]], "-"), 6))</f>
        <v>2</v>
      </c>
      <c r="H272" s="1" cm="1">
        <f t="array" ref="H272">VALUE(INDEX(_xlfn.TEXTSPLIT(Table1[[#This Row],[Item]], "-"), 7))</f>
        <v>0</v>
      </c>
      <c r="I27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72" s="1" t="str">
        <f>LEFT(RIGHT(Table1[[#This Row],[Item]],6),1)</f>
        <v>N</v>
      </c>
      <c r="K272" s="1" t="str">
        <f t="shared" si="4"/>
        <v>N</v>
      </c>
      <c r="L272" s="1" t="str">
        <f>RIGHT(Table1[[#This Row],[Item]],2)</f>
        <v>CA</v>
      </c>
      <c r="M272" s="1" t="s">
        <v>33</v>
      </c>
      <c r="N272" t="s">
        <v>290</v>
      </c>
      <c r="O272" s="1"/>
    </row>
    <row r="273" spans="1:15">
      <c r="A273" t="s">
        <v>291</v>
      </c>
      <c r="B273" s="1" t="str">
        <f>LEFT(Table1[[#This Row],[Item]], FIND("-", Table1[[#This Row],[Item]]) - 1)</f>
        <v>GX05</v>
      </c>
      <c r="C273" s="1" t="str">
        <f>MID(LEFT(Table1[[#This Row],[Item]], FIND("{token}", SUBSTITUTE(Table1[[#This Row],[Item]], "-", "{token}", 2)) - 1), FIND("-", Table1[[#This Row],[Item]]) + 1, LEN(Table1[[#This Row],[Item]]))</f>
        <v>R</v>
      </c>
      <c r="D27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7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73" s="1" cm="1">
        <f t="array" ref="F273">VALUE(INDEX(_xlfn.TEXTSPLIT(Table1[[#This Row],[Item]], "-"), 5))</f>
        <v>0</v>
      </c>
      <c r="G273" s="1" cm="1">
        <f t="array" ref="G273">VALUE(INDEX(_xlfn.TEXTSPLIT(Table1[[#This Row],[Item]], "-"), 6))</f>
        <v>0</v>
      </c>
      <c r="H273" s="1" cm="1">
        <f t="array" ref="H273">VALUE(INDEX(_xlfn.TEXTSPLIT(Table1[[#This Row],[Item]], "-"), 7))</f>
        <v>0</v>
      </c>
      <c r="I27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73" s="1" t="str">
        <f>LEFT(RIGHT(Table1[[#This Row],[Item]],6),1)</f>
        <v>N</v>
      </c>
      <c r="K273" s="1" t="str">
        <f t="shared" si="4"/>
        <v>N</v>
      </c>
      <c r="L273" s="1" t="str">
        <f>RIGHT(Table1[[#This Row],[Item]],2)</f>
        <v>CA</v>
      </c>
      <c r="M273" s="1" t="s">
        <v>33</v>
      </c>
      <c r="N273" t="s">
        <v>291</v>
      </c>
      <c r="O273" s="1"/>
    </row>
    <row r="274" spans="1:15">
      <c r="A274" t="s">
        <v>292</v>
      </c>
      <c r="B274" s="1" t="str">
        <f>LEFT(Table1[[#This Row],[Item]], FIND("-", Table1[[#This Row],[Item]]) - 1)</f>
        <v>GX09</v>
      </c>
      <c r="C274" s="1" t="str">
        <f>MID(LEFT(Table1[[#This Row],[Item]], FIND("{token}", SUBSTITUTE(Table1[[#This Row],[Item]], "-", "{token}", 2)) - 1), FIND("-", Table1[[#This Row],[Item]]) + 1, LEN(Table1[[#This Row],[Item]]))</f>
        <v>L</v>
      </c>
      <c r="D27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7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74" s="1" cm="1">
        <f t="array" ref="F274">VALUE(INDEX(_xlfn.TEXTSPLIT(Table1[[#This Row],[Item]], "-"), 5))</f>
        <v>1</v>
      </c>
      <c r="G274" s="1" cm="1">
        <f t="array" ref="G274">VALUE(INDEX(_xlfn.TEXTSPLIT(Table1[[#This Row],[Item]], "-"), 6))</f>
        <v>1</v>
      </c>
      <c r="H274" s="1" cm="1">
        <f t="array" ref="H274">VALUE(INDEX(_xlfn.TEXTSPLIT(Table1[[#This Row],[Item]], "-"), 7))</f>
        <v>0</v>
      </c>
      <c r="I27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74" s="1" t="str">
        <f>LEFT(RIGHT(Table1[[#This Row],[Item]],6),1)</f>
        <v>N</v>
      </c>
      <c r="K274" s="1" t="str">
        <f t="shared" si="4"/>
        <v>N</v>
      </c>
      <c r="L274" s="1" t="str">
        <f>RIGHT(Table1[[#This Row],[Item]],2)</f>
        <v>CA</v>
      </c>
      <c r="M274" s="1" t="s">
        <v>33</v>
      </c>
      <c r="N274" t="s">
        <v>292</v>
      </c>
      <c r="O274" s="1"/>
    </row>
    <row r="275" spans="1:15">
      <c r="A275" t="s">
        <v>293</v>
      </c>
      <c r="B275" s="1" t="str">
        <f>LEFT(Table1[[#This Row],[Item]], FIND("-", Table1[[#This Row],[Item]]) - 1)</f>
        <v>GX09</v>
      </c>
      <c r="C275" s="1" t="str">
        <f>MID(LEFT(Table1[[#This Row],[Item]], FIND("{token}", SUBSTITUTE(Table1[[#This Row],[Item]], "-", "{token}", 2)) - 1), FIND("-", Table1[[#This Row],[Item]]) + 1, LEN(Table1[[#This Row],[Item]]))</f>
        <v>R</v>
      </c>
      <c r="D275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27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75" s="1" cm="1">
        <f t="array" ref="F275">VALUE(INDEX(_xlfn.TEXTSPLIT(Table1[[#This Row],[Item]], "-"), 5))</f>
        <v>1</v>
      </c>
      <c r="G275" s="1" cm="1">
        <f t="array" ref="G275">VALUE(INDEX(_xlfn.TEXTSPLIT(Table1[[#This Row],[Item]], "-"), 6))</f>
        <v>1</v>
      </c>
      <c r="H275" s="1" cm="1">
        <f t="array" ref="H275">VALUE(INDEX(_xlfn.TEXTSPLIT(Table1[[#This Row],[Item]], "-"), 7))</f>
        <v>0</v>
      </c>
      <c r="I27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75" s="1" t="str">
        <f>LEFT(RIGHT(Table1[[#This Row],[Item]],6),1)</f>
        <v>N</v>
      </c>
      <c r="K275" s="1" t="str">
        <f t="shared" si="4"/>
        <v>N</v>
      </c>
      <c r="L275" s="1" t="str">
        <f>RIGHT(Table1[[#This Row],[Item]],2)</f>
        <v>CA</v>
      </c>
      <c r="M275" s="1" t="s">
        <v>33</v>
      </c>
      <c r="N275" t="s">
        <v>293</v>
      </c>
      <c r="O275" s="1"/>
    </row>
    <row r="276" spans="1:15">
      <c r="A276" t="s">
        <v>294</v>
      </c>
      <c r="B276" s="1" t="str">
        <f>LEFT(Table1[[#This Row],[Item]], FIND("-", Table1[[#This Row],[Item]]) - 1)</f>
        <v>GX09</v>
      </c>
      <c r="C276" s="1" t="str">
        <f>MID(LEFT(Table1[[#This Row],[Item]], FIND("{token}", SUBSTITUTE(Table1[[#This Row],[Item]], "-", "{token}", 2)) - 1), FIND("-", Table1[[#This Row],[Item]]) + 1, LEN(Table1[[#This Row],[Item]]))</f>
        <v>C</v>
      </c>
      <c r="D276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27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76" s="1" cm="1">
        <f t="array" ref="F276">VALUE(INDEX(_xlfn.TEXTSPLIT(Table1[[#This Row],[Item]], "-"), 5))</f>
        <v>1</v>
      </c>
      <c r="G276" s="1" cm="1">
        <f t="array" ref="G276">VALUE(INDEX(_xlfn.TEXTSPLIT(Table1[[#This Row],[Item]], "-"), 6))</f>
        <v>1</v>
      </c>
      <c r="H276" s="1" cm="1">
        <f t="array" ref="H276">VALUE(INDEX(_xlfn.TEXTSPLIT(Table1[[#This Row],[Item]], "-"), 7))</f>
        <v>0</v>
      </c>
      <c r="I27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76" s="1" t="str">
        <f>LEFT(RIGHT(Table1[[#This Row],[Item]],6),1)</f>
        <v>N</v>
      </c>
      <c r="K276" s="1" t="str">
        <f t="shared" si="4"/>
        <v>N</v>
      </c>
      <c r="L276" s="1" t="str">
        <f>RIGHT(Table1[[#This Row],[Item]],2)</f>
        <v>CA</v>
      </c>
      <c r="M276" s="1" t="s">
        <v>33</v>
      </c>
      <c r="N276" t="s">
        <v>294</v>
      </c>
      <c r="O276" s="1"/>
    </row>
    <row r="277" spans="1:15">
      <c r="A277" t="s">
        <v>295</v>
      </c>
      <c r="B277" s="1" t="str">
        <f>LEFT(Table1[[#This Row],[Item]], FIND("-", Table1[[#This Row],[Item]]) - 1)</f>
        <v>GX10</v>
      </c>
      <c r="C277" s="1" t="str">
        <f>MID(LEFT(Table1[[#This Row],[Item]], FIND("{token}", SUBSTITUTE(Table1[[#This Row],[Item]], "-", "{token}", 2)) - 1), FIND("-", Table1[[#This Row],[Item]]) + 1, LEN(Table1[[#This Row],[Item]]))</f>
        <v>L</v>
      </c>
      <c r="D27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7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77" s="1" cm="1">
        <f t="array" ref="F277">VALUE(INDEX(_xlfn.TEXTSPLIT(Table1[[#This Row],[Item]], "-"), 5))</f>
        <v>1</v>
      </c>
      <c r="G277" s="1" cm="1">
        <f t="array" ref="G277">VALUE(INDEX(_xlfn.TEXTSPLIT(Table1[[#This Row],[Item]], "-"), 6))</f>
        <v>1</v>
      </c>
      <c r="H277" s="1" cm="1">
        <f t="array" ref="H277">VALUE(INDEX(_xlfn.TEXTSPLIT(Table1[[#This Row],[Item]], "-"), 7))</f>
        <v>0</v>
      </c>
      <c r="I27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77" s="1" t="str">
        <f>LEFT(RIGHT(Table1[[#This Row],[Item]],6),1)</f>
        <v>N</v>
      </c>
      <c r="K277" s="1" t="str">
        <f t="shared" si="4"/>
        <v>N</v>
      </c>
      <c r="L277" s="1" t="str">
        <f>RIGHT(Table1[[#This Row],[Item]],2)</f>
        <v>CA</v>
      </c>
      <c r="M277" s="1" t="s">
        <v>33</v>
      </c>
      <c r="N277" t="s">
        <v>295</v>
      </c>
      <c r="O277" s="1"/>
    </row>
    <row r="278" spans="1:15">
      <c r="A278" t="s">
        <v>296</v>
      </c>
      <c r="B278" s="1" t="str">
        <f>LEFT(Table1[[#This Row],[Item]], FIND("-", Table1[[#This Row],[Item]]) - 1)</f>
        <v>GX14</v>
      </c>
      <c r="C278" s="1" t="str">
        <f>MID(LEFT(Table1[[#This Row],[Item]], FIND("{token}", SUBSTITUTE(Table1[[#This Row],[Item]], "-", "{token}", 2)) - 1), FIND("-", Table1[[#This Row],[Item]]) + 1, LEN(Table1[[#This Row],[Item]]))</f>
        <v>R</v>
      </c>
      <c r="D27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7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78" s="1" cm="1">
        <f t="array" ref="F278">VALUE(INDEX(_xlfn.TEXTSPLIT(Table1[[#This Row],[Item]], "-"), 5))</f>
        <v>2</v>
      </c>
      <c r="G278" s="1" cm="1">
        <f t="array" ref="G278">VALUE(INDEX(_xlfn.TEXTSPLIT(Table1[[#This Row],[Item]], "-"), 6))</f>
        <v>2</v>
      </c>
      <c r="H278" s="1" cm="1">
        <f t="array" ref="H278">VALUE(INDEX(_xlfn.TEXTSPLIT(Table1[[#This Row],[Item]], "-"), 7))</f>
        <v>0</v>
      </c>
      <c r="I27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78" s="1" t="str">
        <f>LEFT(RIGHT(Table1[[#This Row],[Item]],6),1)</f>
        <v>N</v>
      </c>
      <c r="K278" s="1" t="str">
        <f t="shared" si="4"/>
        <v>N</v>
      </c>
      <c r="L278" s="1" t="str">
        <f>RIGHT(Table1[[#This Row],[Item]],2)</f>
        <v>CA</v>
      </c>
      <c r="M278" s="1" t="s">
        <v>33</v>
      </c>
      <c r="N278" t="s">
        <v>296</v>
      </c>
      <c r="O278" s="1"/>
    </row>
    <row r="279" spans="1:15">
      <c r="A279" t="s">
        <v>297</v>
      </c>
      <c r="B279" s="1" t="str">
        <f>LEFT(Table1[[#This Row],[Item]], FIND("-", Table1[[#This Row],[Item]]) - 1)</f>
        <v>GX09</v>
      </c>
      <c r="C279" s="1" t="str">
        <f>MID(LEFT(Table1[[#This Row],[Item]], FIND("{token}", SUBSTITUTE(Table1[[#This Row],[Item]], "-", "{token}", 2)) - 1), FIND("-", Table1[[#This Row],[Item]]) + 1, LEN(Table1[[#This Row],[Item]]))</f>
        <v>C</v>
      </c>
      <c r="D27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7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79" s="1" cm="1">
        <f t="array" ref="F279">VALUE(INDEX(_xlfn.TEXTSPLIT(Table1[[#This Row],[Item]], "-"), 5))</f>
        <v>1</v>
      </c>
      <c r="G279" s="1" cm="1">
        <f t="array" ref="G279">VALUE(INDEX(_xlfn.TEXTSPLIT(Table1[[#This Row],[Item]], "-"), 6))</f>
        <v>1</v>
      </c>
      <c r="H279" s="1" cm="1">
        <f t="array" ref="H279">VALUE(INDEX(_xlfn.TEXTSPLIT(Table1[[#This Row],[Item]], "-"), 7))</f>
        <v>0</v>
      </c>
      <c r="I27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79" s="1" t="str">
        <f>LEFT(RIGHT(Table1[[#This Row],[Item]],6),1)</f>
        <v>N</v>
      </c>
      <c r="K279" s="1" t="str">
        <f t="shared" si="4"/>
        <v>N</v>
      </c>
      <c r="L279" s="1" t="str">
        <f>RIGHT(Table1[[#This Row],[Item]],2)</f>
        <v>CA</v>
      </c>
      <c r="M279" s="1" t="s">
        <v>33</v>
      </c>
      <c r="N279" t="s">
        <v>297</v>
      </c>
      <c r="O279" s="1"/>
    </row>
    <row r="280" spans="1:15">
      <c r="A280" t="s">
        <v>298</v>
      </c>
      <c r="B280" s="1" t="str">
        <f>LEFT(Table1[[#This Row],[Item]], FIND("-", Table1[[#This Row],[Item]]) - 1)</f>
        <v>ARB8</v>
      </c>
      <c r="C280" s="1" t="str">
        <f>MID(LEFT(Table1[[#This Row],[Item]], FIND("{token}", SUBSTITUTE(Table1[[#This Row],[Item]], "-", "{token}", 2)) - 1), FIND("-", Table1[[#This Row],[Item]]) + 1, LEN(Table1[[#This Row],[Item]]))</f>
        <v>R</v>
      </c>
      <c r="D28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8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80" s="1" cm="1">
        <f t="array" ref="F280">VALUE(INDEX(_xlfn.TEXTSPLIT(Table1[[#This Row],[Item]], "-"), 5))</f>
        <v>1</v>
      </c>
      <c r="G280" s="1" cm="1">
        <f t="array" ref="G280">VALUE(INDEX(_xlfn.TEXTSPLIT(Table1[[#This Row],[Item]], "-"), 6))</f>
        <v>0</v>
      </c>
      <c r="H280" s="1" cm="1">
        <f t="array" ref="H280">VALUE(INDEX(_xlfn.TEXTSPLIT(Table1[[#This Row],[Item]], "-"), 7))</f>
        <v>0</v>
      </c>
      <c r="I280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280" s="1" t="str">
        <f>LEFT(RIGHT(Table1[[#This Row],[Item]],6),1)</f>
        <v>Y</v>
      </c>
      <c r="K280" s="1" t="str">
        <f t="shared" si="4"/>
        <v>N</v>
      </c>
      <c r="L280" s="1" t="str">
        <f>RIGHT(Table1[[#This Row],[Item]],2)</f>
        <v>CA</v>
      </c>
      <c r="M280" s="1" t="s">
        <v>33</v>
      </c>
      <c r="N280" s="3" t="s">
        <v>298</v>
      </c>
      <c r="O280" s="1"/>
    </row>
    <row r="281" spans="1:15">
      <c r="A281" t="s">
        <v>299</v>
      </c>
      <c r="B281" s="1" t="str">
        <f>LEFT(Table1[[#This Row],[Item]], FIND("-", Table1[[#This Row],[Item]]) - 1)</f>
        <v>GX06</v>
      </c>
      <c r="C281" s="1" t="str">
        <f>MID(LEFT(Table1[[#This Row],[Item]], FIND("{token}", SUBSTITUTE(Table1[[#This Row],[Item]], "-", "{token}", 2)) - 1), FIND("-", Table1[[#This Row],[Item]]) + 1, LEN(Table1[[#This Row],[Item]]))</f>
        <v>R</v>
      </c>
      <c r="D28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8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81" s="1" cm="1">
        <f t="array" ref="F281">VALUE(INDEX(_xlfn.TEXTSPLIT(Table1[[#This Row],[Item]], "-"), 5))</f>
        <v>0</v>
      </c>
      <c r="G281" s="1" cm="1">
        <f t="array" ref="G281">VALUE(INDEX(_xlfn.TEXTSPLIT(Table1[[#This Row],[Item]], "-"), 6))</f>
        <v>0</v>
      </c>
      <c r="H281" s="1" cm="1">
        <f t="array" ref="H281">VALUE(INDEX(_xlfn.TEXTSPLIT(Table1[[#This Row],[Item]], "-"), 7))</f>
        <v>0</v>
      </c>
      <c r="I28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81" s="1" t="str">
        <f>LEFT(RIGHT(Table1[[#This Row],[Item]],6),1)</f>
        <v>N</v>
      </c>
      <c r="K281" s="1" t="str">
        <f t="shared" si="4"/>
        <v>N</v>
      </c>
      <c r="L281" s="1" t="str">
        <f>RIGHT(Table1[[#This Row],[Item]],2)</f>
        <v>CA</v>
      </c>
      <c r="M281" s="1" t="s">
        <v>33</v>
      </c>
      <c r="N281" t="s">
        <v>299</v>
      </c>
      <c r="O281" s="1"/>
    </row>
    <row r="282" spans="1:15">
      <c r="A282" t="s">
        <v>300</v>
      </c>
      <c r="B282" s="1" t="str">
        <f>LEFT(Table1[[#This Row],[Item]], FIND("-", Table1[[#This Row],[Item]]) - 1)</f>
        <v>GX09</v>
      </c>
      <c r="C282" s="1" t="str">
        <f>MID(LEFT(Table1[[#This Row],[Item]], FIND("{token}", SUBSTITUTE(Table1[[#This Row],[Item]], "-", "{token}", 2)) - 1), FIND("-", Table1[[#This Row],[Item]]) + 1, LEN(Table1[[#This Row],[Item]]))</f>
        <v>R</v>
      </c>
      <c r="D282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28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82" s="1" cm="1">
        <f t="array" ref="F282">VALUE(INDEX(_xlfn.TEXTSPLIT(Table1[[#This Row],[Item]], "-"), 5))</f>
        <v>1</v>
      </c>
      <c r="G282" s="1" cm="1">
        <f t="array" ref="G282">VALUE(INDEX(_xlfn.TEXTSPLIT(Table1[[#This Row],[Item]], "-"), 6))</f>
        <v>0</v>
      </c>
      <c r="H282" s="1" cm="1">
        <f t="array" ref="H282">VALUE(INDEX(_xlfn.TEXTSPLIT(Table1[[#This Row],[Item]], "-"), 7))</f>
        <v>0</v>
      </c>
      <c r="I28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82" s="1" t="str">
        <f>LEFT(RIGHT(Table1[[#This Row],[Item]],6),1)</f>
        <v>N</v>
      </c>
      <c r="K282" s="1" t="str">
        <f t="shared" si="4"/>
        <v>N</v>
      </c>
      <c r="L282" s="1" t="str">
        <f>RIGHT(Table1[[#This Row],[Item]],2)</f>
        <v>CA</v>
      </c>
      <c r="M282" s="1" t="s">
        <v>33</v>
      </c>
      <c r="N282" t="s">
        <v>300</v>
      </c>
      <c r="O282" s="1"/>
    </row>
    <row r="283" spans="1:15">
      <c r="A283" t="s">
        <v>301</v>
      </c>
      <c r="B283" s="1" t="str">
        <f>LEFT(Table1[[#This Row],[Item]], FIND("-", Table1[[#This Row],[Item]]) - 1)</f>
        <v>GX09</v>
      </c>
      <c r="C283" s="1" t="str">
        <f>MID(LEFT(Table1[[#This Row],[Item]], FIND("{token}", SUBSTITUTE(Table1[[#This Row],[Item]], "-", "{token}", 2)) - 1), FIND("-", Table1[[#This Row],[Item]]) + 1, LEN(Table1[[#This Row],[Item]]))</f>
        <v>RXL</v>
      </c>
      <c r="D28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8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83" s="1" cm="1">
        <f t="array" ref="F283">VALUE(INDEX(_xlfn.TEXTSPLIT(Table1[[#This Row],[Item]], "-"), 5))</f>
        <v>1</v>
      </c>
      <c r="G283" s="1" cm="1">
        <f t="array" ref="G283">VALUE(INDEX(_xlfn.TEXTSPLIT(Table1[[#This Row],[Item]], "-"), 6))</f>
        <v>0</v>
      </c>
      <c r="H283" s="1" cm="1">
        <f t="array" ref="H283">VALUE(INDEX(_xlfn.TEXTSPLIT(Table1[[#This Row],[Item]], "-"), 7))</f>
        <v>0</v>
      </c>
      <c r="I28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83" s="1" t="str">
        <f>LEFT(RIGHT(Table1[[#This Row],[Item]],6),1)</f>
        <v>N</v>
      </c>
      <c r="K283" s="1" t="str">
        <f t="shared" si="4"/>
        <v>N</v>
      </c>
      <c r="L283" s="1" t="str">
        <f>RIGHT(Table1[[#This Row],[Item]],2)</f>
        <v>CA</v>
      </c>
      <c r="M283" s="1" t="s">
        <v>33</v>
      </c>
      <c r="N283" t="s">
        <v>301</v>
      </c>
      <c r="O283" s="1"/>
    </row>
    <row r="284" spans="1:15">
      <c r="A284" t="s">
        <v>302</v>
      </c>
      <c r="B284" s="1" t="str">
        <f>LEFT(Table1[[#This Row],[Item]], FIND("-", Table1[[#This Row],[Item]]) - 1)</f>
        <v>GX09</v>
      </c>
      <c r="C284" s="1" t="str">
        <f>MID(LEFT(Table1[[#This Row],[Item]], FIND("{token}", SUBSTITUTE(Table1[[#This Row],[Item]], "-", "{token}", 2)) - 1), FIND("-", Table1[[#This Row],[Item]]) + 1, LEN(Table1[[#This Row],[Item]]))</f>
        <v>L</v>
      </c>
      <c r="D284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28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84" s="1" cm="1">
        <f t="array" ref="F284">VALUE(INDEX(_xlfn.TEXTSPLIT(Table1[[#This Row],[Item]], "-"), 5))</f>
        <v>1</v>
      </c>
      <c r="G284" s="1">
        <v>1</v>
      </c>
      <c r="H284" s="1" cm="1">
        <f t="array" ref="H284">VALUE(INDEX(_xlfn.TEXTSPLIT(Table1[[#This Row],[Item]], "-"), 7))</f>
        <v>0</v>
      </c>
      <c r="I28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84" s="1" t="str">
        <f>LEFT(RIGHT(Table1[[#This Row],[Item]],6),1)</f>
        <v>N</v>
      </c>
      <c r="K284" s="1" t="str">
        <f t="shared" si="4"/>
        <v>N</v>
      </c>
      <c r="L284" s="1" t="str">
        <f>RIGHT(Table1[[#This Row],[Item]],2)</f>
        <v>CA</v>
      </c>
      <c r="M284" s="1" t="s">
        <v>33</v>
      </c>
      <c r="N284" t="s">
        <v>302</v>
      </c>
      <c r="O284" s="1"/>
    </row>
    <row r="285" spans="1:15">
      <c r="A285" t="s">
        <v>303</v>
      </c>
      <c r="B285" s="1" t="str">
        <f>LEFT(Table1[[#This Row],[Item]], FIND("-", Table1[[#This Row],[Item]]) - 1)</f>
        <v>MA10</v>
      </c>
      <c r="C285" s="1" t="str">
        <f>MID(LEFT(Table1[[#This Row],[Item]], FIND("{token}", SUBSTITUTE(Table1[[#This Row],[Item]], "-", "{token}", 2)) - 1), FIND("-", Table1[[#This Row],[Item]]) + 1, LEN(Table1[[#This Row],[Item]]))</f>
        <v>N</v>
      </c>
      <c r="D28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8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285" s="1" cm="1">
        <f t="array" ref="F285">VALUE(INDEX(_xlfn.TEXTSPLIT(Table1[[#This Row],[Item]], "-"), 5))</f>
        <v>2</v>
      </c>
      <c r="G285" s="1" cm="1">
        <f t="array" ref="G285">VALUE(INDEX(_xlfn.TEXTSPLIT(Table1[[#This Row],[Item]], "-"), 6))</f>
        <v>0</v>
      </c>
      <c r="H285" s="1" cm="1">
        <f t="array" ref="H285">VALUE(INDEX(_xlfn.TEXTSPLIT(Table1[[#This Row],[Item]], "-"), 7))</f>
        <v>0</v>
      </c>
      <c r="I285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85" s="1" t="str">
        <f>LEFT(RIGHT(Table1[[#This Row],[Item]],6),1)</f>
        <v>Y</v>
      </c>
      <c r="K285" s="1" t="str">
        <f t="shared" si="4"/>
        <v>N</v>
      </c>
      <c r="L285" s="1" t="str">
        <f>RIGHT(Table1[[#This Row],[Item]],2)</f>
        <v>CA</v>
      </c>
      <c r="M285" s="1" t="s">
        <v>33</v>
      </c>
      <c r="N285" t="s">
        <v>303</v>
      </c>
      <c r="O285" s="1"/>
    </row>
    <row r="286" spans="1:15">
      <c r="A286" t="s">
        <v>304</v>
      </c>
      <c r="B286" s="1" t="str">
        <f>LEFT(Table1[[#This Row],[Item]], FIND("-", Table1[[#This Row],[Item]]) - 1)</f>
        <v>GX10</v>
      </c>
      <c r="C286" s="1" t="str">
        <f>MID(LEFT(Table1[[#This Row],[Item]], FIND("{token}", SUBSTITUTE(Table1[[#This Row],[Item]], "-", "{token}", 2)) - 1), FIND("-", Table1[[#This Row],[Item]]) + 1, LEN(Table1[[#This Row],[Item]]))</f>
        <v>RXL</v>
      </c>
      <c r="D286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8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86" s="1" cm="1">
        <f t="array" ref="F286">VALUE(INDEX(_xlfn.TEXTSPLIT(Table1[[#This Row],[Item]], "-"), 5))</f>
        <v>1</v>
      </c>
      <c r="G286" s="1" cm="1">
        <f t="array" ref="G286">VALUE(INDEX(_xlfn.TEXTSPLIT(Table1[[#This Row],[Item]], "-"), 6))</f>
        <v>0</v>
      </c>
      <c r="H286" s="1" cm="1">
        <f t="array" ref="H286">VALUE(INDEX(_xlfn.TEXTSPLIT(Table1[[#This Row],[Item]], "-"), 7))</f>
        <v>0</v>
      </c>
      <c r="I28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86" s="1" t="str">
        <f>LEFT(RIGHT(Table1[[#This Row],[Item]],6),1)</f>
        <v>N</v>
      </c>
      <c r="K286" s="1" t="str">
        <f t="shared" si="4"/>
        <v>N</v>
      </c>
      <c r="L286" s="1" t="str">
        <f>RIGHT(Table1[[#This Row],[Item]],2)</f>
        <v>CA</v>
      </c>
      <c r="M286" s="1" t="s">
        <v>33</v>
      </c>
      <c r="N286" t="s">
        <v>304</v>
      </c>
      <c r="O286" s="1"/>
    </row>
    <row r="287" spans="1:15">
      <c r="A287" t="s">
        <v>305</v>
      </c>
      <c r="B287" s="1" t="str">
        <f>LEFT(Table1[[#This Row],[Item]], FIND("-", Table1[[#This Row],[Item]]) - 1)</f>
        <v>GX12</v>
      </c>
      <c r="C287" s="1" t="str">
        <f>MID(LEFT(Table1[[#This Row],[Item]], FIND("{token}", SUBSTITUTE(Table1[[#This Row],[Item]], "-", "{token}", 2)) - 1), FIND("-", Table1[[#This Row],[Item]]) + 1, LEN(Table1[[#This Row],[Item]]))</f>
        <v>C</v>
      </c>
      <c r="D287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28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287" s="1" cm="1">
        <f t="array" ref="F287">VALUE(INDEX(_xlfn.TEXTSPLIT(Table1[[#This Row],[Item]], "-"), 5))</f>
        <v>2</v>
      </c>
      <c r="G287" s="1" cm="1">
        <f t="array" ref="G287">VALUE(INDEX(_xlfn.TEXTSPLIT(Table1[[#This Row],[Item]], "-"), 6))</f>
        <v>1</v>
      </c>
      <c r="H287" s="1" cm="1">
        <f t="array" ref="H287">VALUE(INDEX(_xlfn.TEXTSPLIT(Table1[[#This Row],[Item]], "-"), 7))</f>
        <v>1</v>
      </c>
      <c r="I28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87" s="1" t="str">
        <f>LEFT(RIGHT(Table1[[#This Row],[Item]],6),1)</f>
        <v>N</v>
      </c>
      <c r="K287" s="1" t="str">
        <f t="shared" si="4"/>
        <v>N</v>
      </c>
      <c r="L287" s="1" t="str">
        <f>RIGHT(Table1[[#This Row],[Item]],2)</f>
        <v>CA</v>
      </c>
      <c r="M287" s="1" t="s">
        <v>33</v>
      </c>
      <c r="N287" t="s">
        <v>305</v>
      </c>
      <c r="O287" s="1"/>
    </row>
    <row r="288" spans="1:15">
      <c r="A288" t="s">
        <v>306</v>
      </c>
      <c r="B288" s="1" t="str">
        <f>LEFT(Table1[[#This Row],[Item]], FIND("-", Table1[[#This Row],[Item]]) - 1)</f>
        <v>GX09</v>
      </c>
      <c r="C288" s="1" t="str">
        <f>MID(LEFT(Table1[[#This Row],[Item]], FIND("{token}", SUBSTITUTE(Table1[[#This Row],[Item]], "-", "{token}", 2)) - 1), FIND("-", Table1[[#This Row],[Item]]) + 1, LEN(Table1[[#This Row],[Item]]))</f>
        <v>R</v>
      </c>
      <c r="D28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8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288" s="1" cm="1">
        <f t="array" ref="F288">VALUE(INDEX(_xlfn.TEXTSPLIT(Table1[[#This Row],[Item]], "-"), 5))</f>
        <v>1</v>
      </c>
      <c r="G288" s="1" cm="1">
        <f t="array" ref="G288">VALUE(INDEX(_xlfn.TEXTSPLIT(Table1[[#This Row],[Item]], "-"), 6))</f>
        <v>1</v>
      </c>
      <c r="H288" s="1" cm="1">
        <f t="array" ref="H288">VALUE(INDEX(_xlfn.TEXTSPLIT(Table1[[#This Row],[Item]], "-"), 7))</f>
        <v>1</v>
      </c>
      <c r="I28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88" s="1" t="str">
        <f>LEFT(RIGHT(Table1[[#This Row],[Item]],6),1)</f>
        <v>N</v>
      </c>
      <c r="K288" s="1" t="str">
        <f t="shared" si="4"/>
        <v>N</v>
      </c>
      <c r="L288" s="1" t="str">
        <f>RIGHT(Table1[[#This Row],[Item]],2)</f>
        <v>CA</v>
      </c>
      <c r="M288" s="1" t="s">
        <v>33</v>
      </c>
      <c r="N288" t="s">
        <v>306</v>
      </c>
      <c r="O288" s="1"/>
    </row>
    <row r="289" spans="1:15">
      <c r="A289" t="s">
        <v>307</v>
      </c>
      <c r="B289" s="1" t="str">
        <f>LEFT(Table1[[#This Row],[Item]], FIND("-", Table1[[#This Row],[Item]]) - 1)</f>
        <v>STT9</v>
      </c>
      <c r="C289" s="1" t="str">
        <f>MID(LEFT(Table1[[#This Row],[Item]], FIND("{token}", SUBSTITUTE(Table1[[#This Row],[Item]], "-", "{token}", 2)) - 1), FIND("-", Table1[[#This Row],[Item]]) + 1, LEN(Table1[[#This Row],[Item]]))</f>
        <v>N</v>
      </c>
      <c r="D28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8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89" s="1" cm="1">
        <f t="array" ref="F289">VALUE(INDEX(_xlfn.TEXTSPLIT(Table1[[#This Row],[Item]], "-"), 5))</f>
        <v>0</v>
      </c>
      <c r="G289" s="1" cm="1">
        <f t="array" ref="G289">VALUE(INDEX(_xlfn.TEXTSPLIT(Table1[[#This Row],[Item]], "-"), 6))</f>
        <v>0</v>
      </c>
      <c r="H289" s="1" cm="1">
        <f t="array" ref="H289">VALUE(INDEX(_xlfn.TEXTSPLIT(Table1[[#This Row],[Item]], "-"), 7))</f>
        <v>0</v>
      </c>
      <c r="I289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289" s="1" t="str">
        <f>LEFT(RIGHT(Table1[[#This Row],[Item]],6),1)</f>
        <v>Y</v>
      </c>
      <c r="K289" s="1" t="str">
        <f t="shared" si="4"/>
        <v>N</v>
      </c>
      <c r="L289" s="1" t="str">
        <f>RIGHT(Table1[[#This Row],[Item]],2)</f>
        <v>CA</v>
      </c>
      <c r="M289" s="1" t="s">
        <v>33</v>
      </c>
      <c r="N289" t="s">
        <v>307</v>
      </c>
      <c r="O289" s="1"/>
    </row>
    <row r="290" spans="1:15">
      <c r="A290" t="s">
        <v>308</v>
      </c>
      <c r="B290" s="1" t="str">
        <f>LEFT(Table1[[#This Row],[Item]], FIND("-", Table1[[#This Row],[Item]]) - 1)</f>
        <v>GX10</v>
      </c>
      <c r="C290" s="1" t="str">
        <f>MID(LEFT(Table1[[#This Row],[Item]], FIND("{token}", SUBSTITUTE(Table1[[#This Row],[Item]], "-", "{token}", 2)) - 1), FIND("-", Table1[[#This Row],[Item]]) + 1, LEN(Table1[[#This Row],[Item]]))</f>
        <v>LXL</v>
      </c>
      <c r="D290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29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290" s="1" cm="1">
        <f t="array" ref="F290">VALUE(INDEX(_xlfn.TEXTSPLIT(Table1[[#This Row],[Item]], "-"), 5))</f>
        <v>1</v>
      </c>
      <c r="G290" s="1" cm="1">
        <f t="array" ref="G290">VALUE(INDEX(_xlfn.TEXTSPLIT(Table1[[#This Row],[Item]], "-"), 6))</f>
        <v>2</v>
      </c>
      <c r="H290" s="1" cm="1">
        <f t="array" ref="H290">VALUE(INDEX(_xlfn.TEXTSPLIT(Table1[[#This Row],[Item]], "-"), 7))</f>
        <v>0</v>
      </c>
      <c r="I29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90" s="1" t="str">
        <f>LEFT(RIGHT(Table1[[#This Row],[Item]],6),1)</f>
        <v>N</v>
      </c>
      <c r="K290" s="1" t="str">
        <f t="shared" si="4"/>
        <v>N</v>
      </c>
      <c r="L290" s="1" t="str">
        <f>RIGHT(Table1[[#This Row],[Item]],2)</f>
        <v>CA</v>
      </c>
      <c r="M290" s="1" t="s">
        <v>33</v>
      </c>
      <c r="N290" t="s">
        <v>308</v>
      </c>
      <c r="O290" s="1"/>
    </row>
    <row r="291" spans="1:15">
      <c r="A291" t="s">
        <v>309</v>
      </c>
      <c r="B291" s="1" t="str">
        <f>LEFT(Table1[[#This Row],[Item]], FIND("-", Table1[[#This Row],[Item]]) - 1)</f>
        <v>GX10</v>
      </c>
      <c r="C291" s="1" t="str">
        <f>MID(LEFT(Table1[[#This Row],[Item]], FIND("{token}", SUBSTITUTE(Table1[[#This Row],[Item]], "-", "{token}", 2)) - 1), FIND("-", Table1[[#This Row],[Item]]) + 1, LEN(Table1[[#This Row],[Item]]))</f>
        <v>D</v>
      </c>
      <c r="D291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29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D2</v>
      </c>
      <c r="F291" s="1" cm="1">
        <f t="array" ref="F291">VALUE(INDEX(_xlfn.TEXTSPLIT(Table1[[#This Row],[Item]], "-"), 5))</f>
        <v>1</v>
      </c>
      <c r="G291" s="1" cm="1">
        <f t="array" ref="G291">VALUE(INDEX(_xlfn.TEXTSPLIT(Table1[[#This Row],[Item]], "-"), 6))</f>
        <v>1</v>
      </c>
      <c r="H291" s="1" cm="1">
        <f t="array" ref="H291">VALUE(INDEX(_xlfn.TEXTSPLIT(Table1[[#This Row],[Item]], "-"), 7))</f>
        <v>0</v>
      </c>
      <c r="I29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91" s="1" t="str">
        <f>LEFT(RIGHT(Table1[[#This Row],[Item]],6),1)</f>
        <v>N</v>
      </c>
      <c r="K291" s="1" t="str">
        <f t="shared" si="4"/>
        <v>N</v>
      </c>
      <c r="L291" s="1" t="str">
        <f>RIGHT(Table1[[#This Row],[Item]],2)</f>
        <v>CA</v>
      </c>
      <c r="M291" s="1" t="s">
        <v>33</v>
      </c>
      <c r="N291" t="s">
        <v>309</v>
      </c>
      <c r="O291" s="1"/>
    </row>
    <row r="292" spans="1:15">
      <c r="A292" t="s">
        <v>310</v>
      </c>
      <c r="B292" s="1" t="str">
        <f>LEFT(Table1[[#This Row],[Item]], FIND("-", Table1[[#This Row],[Item]]) - 1)</f>
        <v>GX09</v>
      </c>
      <c r="C292" s="1" t="str">
        <f>MID(LEFT(Table1[[#This Row],[Item]], FIND("{token}", SUBSTITUTE(Table1[[#This Row],[Item]], "-", "{token}", 2)) - 1), FIND("-", Table1[[#This Row],[Item]]) + 1, LEN(Table1[[#This Row],[Item]]))</f>
        <v>L</v>
      </c>
      <c r="D292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29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92" s="1" cm="1">
        <f t="array" ref="F292">VALUE(INDEX(_xlfn.TEXTSPLIT(Table1[[#This Row],[Item]], "-"), 5))</f>
        <v>1</v>
      </c>
      <c r="G292" s="1" cm="1">
        <f t="array" ref="G292">VALUE(INDEX(_xlfn.TEXTSPLIT(Table1[[#This Row],[Item]], "-"), 6))</f>
        <v>1</v>
      </c>
      <c r="H292" s="1" cm="1">
        <f t="array" ref="H292">VALUE(INDEX(_xlfn.TEXTSPLIT(Table1[[#This Row],[Item]], "-"), 7))</f>
        <v>0</v>
      </c>
      <c r="I29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92" s="1" t="str">
        <f>LEFT(RIGHT(Table1[[#This Row],[Item]],6),1)</f>
        <v>N</v>
      </c>
      <c r="K292" s="1" t="str">
        <f t="shared" si="4"/>
        <v>N</v>
      </c>
      <c r="L292" s="1" t="str">
        <f>RIGHT(Table1[[#This Row],[Item]],2)</f>
        <v>CA</v>
      </c>
      <c r="M292" s="1" t="s">
        <v>33</v>
      </c>
      <c r="N292" t="s">
        <v>310</v>
      </c>
      <c r="O292" s="1"/>
    </row>
    <row r="293" spans="1:15">
      <c r="A293" t="s">
        <v>311</v>
      </c>
      <c r="B293" s="1" t="str">
        <f>LEFT(Table1[[#This Row],[Item]], FIND("-", Table1[[#This Row],[Item]]) - 1)</f>
        <v>GX08</v>
      </c>
      <c r="C293" s="1" t="str">
        <f>MID(LEFT(Table1[[#This Row],[Item]], FIND("{token}", SUBSTITUTE(Table1[[#This Row],[Item]], "-", "{token}", 2)) - 1), FIND("-", Table1[[#This Row],[Item]]) + 1, LEN(Table1[[#This Row],[Item]]))</f>
        <v>C</v>
      </c>
      <c r="D29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9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293" s="1" cm="1">
        <f t="array" ref="F293">VALUE(INDEX(_xlfn.TEXTSPLIT(Table1[[#This Row],[Item]], "-"), 5))</f>
        <v>1</v>
      </c>
      <c r="G293" s="1" cm="1">
        <f t="array" ref="G293">VALUE(INDEX(_xlfn.TEXTSPLIT(Table1[[#This Row],[Item]], "-"), 6))</f>
        <v>1</v>
      </c>
      <c r="H293" s="1" cm="1">
        <f t="array" ref="H293">VALUE(INDEX(_xlfn.TEXTSPLIT(Table1[[#This Row],[Item]], "-"), 7))</f>
        <v>0</v>
      </c>
      <c r="I29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93" s="1" t="str">
        <f>LEFT(RIGHT(Table1[[#This Row],[Item]],6),1)</f>
        <v>N</v>
      </c>
      <c r="K293" s="1" t="str">
        <f t="shared" si="4"/>
        <v>N</v>
      </c>
      <c r="L293" s="1" t="str">
        <f>RIGHT(Table1[[#This Row],[Item]],2)</f>
        <v>CA</v>
      </c>
      <c r="M293" s="1" t="s">
        <v>33</v>
      </c>
      <c r="N293" t="s">
        <v>311</v>
      </c>
      <c r="O293" s="1"/>
    </row>
    <row r="294" spans="1:15">
      <c r="A294" t="s">
        <v>312</v>
      </c>
      <c r="B294" s="1" t="str">
        <f>LEFT(Table1[[#This Row],[Item]], FIND("-", Table1[[#This Row],[Item]]) - 1)</f>
        <v>GX06</v>
      </c>
      <c r="C294" s="1" t="str">
        <f>MID(LEFT(Table1[[#This Row],[Item]], FIND("{token}", SUBSTITUTE(Table1[[#This Row],[Item]], "-", "{token}", 2)) - 1), FIND("-", Table1[[#This Row],[Item]]) + 1, LEN(Table1[[#This Row],[Item]]))</f>
        <v>R</v>
      </c>
      <c r="D29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29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294" s="1" cm="1">
        <f t="array" ref="F294">VALUE(INDEX(_xlfn.TEXTSPLIT(Table1[[#This Row],[Item]], "-"), 5))</f>
        <v>1</v>
      </c>
      <c r="G294" s="1" cm="1">
        <f t="array" ref="G294">VALUE(INDEX(_xlfn.TEXTSPLIT(Table1[[#This Row],[Item]], "-"), 6))</f>
        <v>1</v>
      </c>
      <c r="H294" s="1" cm="1">
        <f t="array" ref="H294">VALUE(INDEX(_xlfn.TEXTSPLIT(Table1[[#This Row],[Item]], "-"), 7))</f>
        <v>0</v>
      </c>
      <c r="I29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94" s="1" t="str">
        <f>LEFT(RIGHT(Table1[[#This Row],[Item]],6),1)</f>
        <v>N</v>
      </c>
      <c r="K294" s="1" t="str">
        <f t="shared" si="4"/>
        <v>N</v>
      </c>
      <c r="L294" s="1" t="str">
        <f>RIGHT(Table1[[#This Row],[Item]],2)</f>
        <v>CA</v>
      </c>
      <c r="M294" s="1" t="s">
        <v>33</v>
      </c>
      <c r="N294" t="s">
        <v>312</v>
      </c>
      <c r="O294" s="1"/>
    </row>
    <row r="295" spans="1:15">
      <c r="A295" t="s">
        <v>313</v>
      </c>
      <c r="B295" s="1" t="str">
        <f>LEFT(Table1[[#This Row],[Item]], FIND("-", Table1[[#This Row],[Item]]) - 1)</f>
        <v>ARB8</v>
      </c>
      <c r="C295" s="1" t="str">
        <f>MID(LEFT(Table1[[#This Row],[Item]], FIND("{token}", SUBSTITUTE(Table1[[#This Row],[Item]], "-", "{token}", 2)) - 1), FIND("-", Table1[[#This Row],[Item]]) + 1, LEN(Table1[[#This Row],[Item]]))</f>
        <v>L</v>
      </c>
      <c r="D295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29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95" s="1" cm="1">
        <f t="array" ref="F295">VALUE(INDEX(_xlfn.TEXTSPLIT(Table1[[#This Row],[Item]], "-"), 5))</f>
        <v>1</v>
      </c>
      <c r="G295" s="1" cm="1">
        <f t="array" ref="G295">VALUE(INDEX(_xlfn.TEXTSPLIT(Table1[[#This Row],[Item]], "-"), 6))</f>
        <v>0</v>
      </c>
      <c r="H295" s="1" cm="1">
        <f t="array" ref="H295">VALUE(INDEX(_xlfn.TEXTSPLIT(Table1[[#This Row],[Item]], "-"), 7))</f>
        <v>0</v>
      </c>
      <c r="I295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295" s="1" t="str">
        <f>LEFT(RIGHT(Table1[[#This Row],[Item]],6),1)</f>
        <v>Y</v>
      </c>
      <c r="K295" s="1" t="str">
        <f t="shared" si="4"/>
        <v>N</v>
      </c>
      <c r="L295" s="1" t="str">
        <f>RIGHT(Table1[[#This Row],[Item]],2)</f>
        <v>CA</v>
      </c>
      <c r="M295" s="1" t="s">
        <v>33</v>
      </c>
      <c r="N295" t="s">
        <v>313</v>
      </c>
      <c r="O295" s="1"/>
    </row>
    <row r="296" spans="1:15">
      <c r="A296" t="s">
        <v>314</v>
      </c>
      <c r="B296" s="1" t="str">
        <f>LEFT(Table1[[#This Row],[Item]], FIND("-", Table1[[#This Row],[Item]]) - 1)</f>
        <v>GX12</v>
      </c>
      <c r="C296" s="1" t="str">
        <f>MID(LEFT(Table1[[#This Row],[Item]], FIND("{token}", SUBSTITUTE(Table1[[#This Row],[Item]], "-", "{token}", 2)) - 1), FIND("-", Table1[[#This Row],[Item]]) + 1, LEN(Table1[[#This Row],[Item]]))</f>
        <v>D</v>
      </c>
      <c r="D296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9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D2</v>
      </c>
      <c r="F296" s="1" cm="1">
        <f t="array" ref="F296">VALUE(INDEX(_xlfn.TEXTSPLIT(Table1[[#This Row],[Item]], "-"), 5))</f>
        <v>1</v>
      </c>
      <c r="G296" s="1" cm="1">
        <f t="array" ref="G296">VALUE(INDEX(_xlfn.TEXTSPLIT(Table1[[#This Row],[Item]], "-"), 6))</f>
        <v>2</v>
      </c>
      <c r="H296" s="1" cm="1">
        <f t="array" ref="H296">VALUE(INDEX(_xlfn.TEXTSPLIT(Table1[[#This Row],[Item]], "-"), 7))</f>
        <v>0</v>
      </c>
      <c r="I29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96" s="1" t="str">
        <f>LEFT(RIGHT(Table1[[#This Row],[Item]],6),1)</f>
        <v>N</v>
      </c>
      <c r="K296" s="1" t="str">
        <f t="shared" si="4"/>
        <v>N</v>
      </c>
      <c r="L296" s="1" t="str">
        <f>RIGHT(Table1[[#This Row],[Item]],2)</f>
        <v>CA</v>
      </c>
      <c r="M296" s="1" t="s">
        <v>33</v>
      </c>
      <c r="N296" t="s">
        <v>314</v>
      </c>
      <c r="O296" s="1"/>
    </row>
    <row r="297" spans="1:15">
      <c r="A297" t="s">
        <v>315</v>
      </c>
      <c r="B297" s="1" t="str">
        <f>LEFT(Table1[[#This Row],[Item]], FIND("-", Table1[[#This Row],[Item]]) - 1)</f>
        <v>GX08</v>
      </c>
      <c r="C297" s="1" t="str">
        <f>MID(LEFT(Table1[[#This Row],[Item]], FIND("{token}", SUBSTITUTE(Table1[[#This Row],[Item]], "-", "{token}", 2)) - 1), FIND("-", Table1[[#This Row],[Item]]) + 1, LEN(Table1[[#This Row],[Item]]))</f>
        <v>C</v>
      </c>
      <c r="D297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29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297" s="1" cm="1">
        <f t="array" ref="F297">VALUE(INDEX(_xlfn.TEXTSPLIT(Table1[[#This Row],[Item]], "-"), 5))</f>
        <v>1</v>
      </c>
      <c r="G297" s="1" cm="1">
        <f t="array" ref="G297">VALUE(INDEX(_xlfn.TEXTSPLIT(Table1[[#This Row],[Item]], "-"), 6))</f>
        <v>1</v>
      </c>
      <c r="H297" s="1" cm="1">
        <f t="array" ref="H297">VALUE(INDEX(_xlfn.TEXTSPLIT(Table1[[#This Row],[Item]], "-"), 7))</f>
        <v>0</v>
      </c>
      <c r="I29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97" s="1" t="str">
        <f>LEFT(RIGHT(Table1[[#This Row],[Item]],6),1)</f>
        <v>N</v>
      </c>
      <c r="K297" s="1" t="str">
        <f t="shared" si="4"/>
        <v>N</v>
      </c>
      <c r="L297" s="1" t="str">
        <f>RIGHT(Table1[[#This Row],[Item]],2)</f>
        <v>CA</v>
      </c>
      <c r="M297" s="1" t="s">
        <v>33</v>
      </c>
      <c r="N297" t="s">
        <v>315</v>
      </c>
      <c r="O297" s="1"/>
    </row>
    <row r="298" spans="1:15">
      <c r="A298" t="s">
        <v>316</v>
      </c>
      <c r="B298" s="1" t="str">
        <f>LEFT(Table1[[#This Row],[Item]], FIND("-", Table1[[#This Row],[Item]]) - 1)</f>
        <v>GX10</v>
      </c>
      <c r="C298" s="1" t="str">
        <f>MID(LEFT(Table1[[#This Row],[Item]], FIND("{token}", SUBSTITUTE(Table1[[#This Row],[Item]], "-", "{token}", 2)) - 1), FIND("-", Table1[[#This Row],[Item]]) + 1, LEN(Table1[[#This Row],[Item]]))</f>
        <v>C</v>
      </c>
      <c r="D298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29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298" s="1" cm="1">
        <f t="array" ref="F298">VALUE(INDEX(_xlfn.TEXTSPLIT(Table1[[#This Row],[Item]], "-"), 5))</f>
        <v>1</v>
      </c>
      <c r="G298" s="1" cm="1">
        <f t="array" ref="G298">VALUE(INDEX(_xlfn.TEXTSPLIT(Table1[[#This Row],[Item]], "-"), 6))</f>
        <v>1</v>
      </c>
      <c r="H298" s="1" cm="1">
        <f t="array" ref="H298">VALUE(INDEX(_xlfn.TEXTSPLIT(Table1[[#This Row],[Item]], "-"), 7))</f>
        <v>0</v>
      </c>
      <c r="I29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98" s="1" t="str">
        <f>LEFT(RIGHT(Table1[[#This Row],[Item]],6),1)</f>
        <v>N</v>
      </c>
      <c r="K298" s="1" t="str">
        <f t="shared" si="4"/>
        <v>N</v>
      </c>
      <c r="L298" s="1" t="str">
        <f>RIGHT(Table1[[#This Row],[Item]],2)</f>
        <v>CA</v>
      </c>
      <c r="M298" s="1" t="s">
        <v>33</v>
      </c>
      <c r="N298" t="s">
        <v>316</v>
      </c>
      <c r="O298" s="1"/>
    </row>
    <row r="299" spans="1:15">
      <c r="A299" t="s">
        <v>317</v>
      </c>
      <c r="B299" s="1" t="str">
        <f>LEFT(Table1[[#This Row],[Item]], FIND("-", Table1[[#This Row],[Item]]) - 1)</f>
        <v>GX06</v>
      </c>
      <c r="C299" s="1" t="str">
        <f>MID(LEFT(Table1[[#This Row],[Item]], FIND("{token}", SUBSTITUTE(Table1[[#This Row],[Item]], "-", "{token}", 2)) - 1), FIND("-", Table1[[#This Row],[Item]]) + 1, LEN(Table1[[#This Row],[Item]]))</f>
        <v>R</v>
      </c>
      <c r="D29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29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299" s="1" cm="1">
        <f t="array" ref="F299">VALUE(INDEX(_xlfn.TEXTSPLIT(Table1[[#This Row],[Item]], "-"), 5))</f>
        <v>1</v>
      </c>
      <c r="G299" s="1" cm="1">
        <f t="array" ref="G299">VALUE(INDEX(_xlfn.TEXTSPLIT(Table1[[#This Row],[Item]], "-"), 6))</f>
        <v>1</v>
      </c>
      <c r="H299" s="1" cm="1">
        <f t="array" ref="H299">VALUE(INDEX(_xlfn.TEXTSPLIT(Table1[[#This Row],[Item]], "-"), 7))</f>
        <v>0</v>
      </c>
      <c r="I29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299" s="1" t="str">
        <f>LEFT(RIGHT(Table1[[#This Row],[Item]],6),1)</f>
        <v>N</v>
      </c>
      <c r="K299" s="1" t="str">
        <f t="shared" si="4"/>
        <v>N</v>
      </c>
      <c r="L299" s="1" t="str">
        <f>RIGHT(Table1[[#This Row],[Item]],2)</f>
        <v>CA</v>
      </c>
      <c r="M299" s="1" t="s">
        <v>33</v>
      </c>
      <c r="N299" t="s">
        <v>317</v>
      </c>
      <c r="O299" s="1"/>
    </row>
    <row r="300" spans="1:15">
      <c r="A300" t="s">
        <v>318</v>
      </c>
      <c r="B300" s="1" t="str">
        <f>LEFT(Table1[[#This Row],[Item]], FIND("-", Table1[[#This Row],[Item]]) - 1)</f>
        <v>GX08</v>
      </c>
      <c r="C300" s="1" t="str">
        <f>MID(LEFT(Table1[[#This Row],[Item]], FIND("{token}", SUBSTITUTE(Table1[[#This Row],[Item]], "-", "{token}", 2)) - 1), FIND("-", Table1[[#This Row],[Item]]) + 1, LEN(Table1[[#This Row],[Item]]))</f>
        <v>L</v>
      </c>
      <c r="D300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30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00" s="1" cm="1">
        <f t="array" ref="F300">VALUE(INDEX(_xlfn.TEXTSPLIT(Table1[[#This Row],[Item]], "-"), 5))</f>
        <v>1</v>
      </c>
      <c r="G300" s="1" cm="1">
        <f t="array" ref="G300">VALUE(INDEX(_xlfn.TEXTSPLIT(Table1[[#This Row],[Item]], "-"), 6))</f>
        <v>1</v>
      </c>
      <c r="H300" s="1" cm="1">
        <f t="array" ref="H300">VALUE(INDEX(_xlfn.TEXTSPLIT(Table1[[#This Row],[Item]], "-"), 7))</f>
        <v>0</v>
      </c>
      <c r="I30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00" s="1" t="str">
        <f>LEFT(RIGHT(Table1[[#This Row],[Item]],6),1)</f>
        <v>N</v>
      </c>
      <c r="K300" s="1" t="str">
        <f t="shared" si="4"/>
        <v>N</v>
      </c>
      <c r="L300" s="1" t="str">
        <f>RIGHT(Table1[[#This Row],[Item]],2)</f>
        <v>CA</v>
      </c>
      <c r="M300" s="1" t="s">
        <v>33</v>
      </c>
      <c r="N300" t="s">
        <v>318</v>
      </c>
      <c r="O300" s="1"/>
    </row>
    <row r="301" spans="1:15">
      <c r="A301" t="s">
        <v>319</v>
      </c>
      <c r="B301" s="1" t="str">
        <f>LEFT(Table1[[#This Row],[Item]], FIND("-", Table1[[#This Row],[Item]]) - 1)</f>
        <v>GX14</v>
      </c>
      <c r="C301" s="1" t="str">
        <f>MID(LEFT(Table1[[#This Row],[Item]], FIND("{token}", SUBSTITUTE(Table1[[#This Row],[Item]], "-", "{token}", 2)) - 1), FIND("-", Table1[[#This Row],[Item]]) + 1, LEN(Table1[[#This Row],[Item]]))</f>
        <v>CXL</v>
      </c>
      <c r="D301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30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301" s="1" cm="1">
        <f t="array" ref="F301">VALUE(INDEX(_xlfn.TEXTSPLIT(Table1[[#This Row],[Item]], "-"), 5))</f>
        <v>2</v>
      </c>
      <c r="G301" s="1" cm="1">
        <f t="array" ref="G301">VALUE(INDEX(_xlfn.TEXTSPLIT(Table1[[#This Row],[Item]], "-"), 6))</f>
        <v>2</v>
      </c>
      <c r="H301" s="1" cm="1">
        <f t="array" ref="H301">VALUE(INDEX(_xlfn.TEXTSPLIT(Table1[[#This Row],[Item]], "-"), 7))</f>
        <v>0</v>
      </c>
      <c r="I30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01" s="1" t="str">
        <f>LEFT(RIGHT(Table1[[#This Row],[Item]],6),1)</f>
        <v>N</v>
      </c>
      <c r="K301" s="1" t="str">
        <f t="shared" si="4"/>
        <v>N</v>
      </c>
      <c r="L301" s="1" t="str">
        <f>RIGHT(Table1[[#This Row],[Item]],2)</f>
        <v>CA</v>
      </c>
      <c r="M301" s="1" t="s">
        <v>33</v>
      </c>
      <c r="N301" t="s">
        <v>319</v>
      </c>
      <c r="O301" s="1"/>
    </row>
    <row r="302" spans="1:15">
      <c r="A302" t="s">
        <v>320</v>
      </c>
      <c r="B302" s="1" t="str">
        <f>LEFT(Table1[[#This Row],[Item]], FIND("-", Table1[[#This Row],[Item]]) - 1)</f>
        <v>ARB8</v>
      </c>
      <c r="C302" s="1" t="str">
        <f>MID(LEFT(Table1[[#This Row],[Item]], FIND("{token}", SUBSTITUTE(Table1[[#This Row],[Item]], "-", "{token}", 2)) - 1), FIND("-", Table1[[#This Row],[Item]]) + 1, LEN(Table1[[#This Row],[Item]]))</f>
        <v>L</v>
      </c>
      <c r="D302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30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302" s="1" cm="1">
        <f t="array" ref="F302">VALUE(INDEX(_xlfn.TEXTSPLIT(Table1[[#This Row],[Item]], "-"), 5))</f>
        <v>1</v>
      </c>
      <c r="G302" s="1" cm="1">
        <f t="array" ref="G302">VALUE(INDEX(_xlfn.TEXTSPLIT(Table1[[#This Row],[Item]], "-"), 6))</f>
        <v>1</v>
      </c>
      <c r="H302" s="1" cm="1">
        <f t="array" ref="H302">VALUE(INDEX(_xlfn.TEXTSPLIT(Table1[[#This Row],[Item]], "-"), 7))</f>
        <v>0</v>
      </c>
      <c r="I302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302" s="1" t="str">
        <f>LEFT(RIGHT(Table1[[#This Row],[Item]],6),1)</f>
        <v>Y</v>
      </c>
      <c r="K302" s="1" t="str">
        <f t="shared" si="4"/>
        <v>Y</v>
      </c>
      <c r="L302" s="1" t="str">
        <f>RIGHT(Table1[[#This Row],[Item]],2)</f>
        <v>CA</v>
      </c>
      <c r="M302" s="1" t="s">
        <v>33</v>
      </c>
      <c r="N302" t="s">
        <v>320</v>
      </c>
      <c r="O302" s="1"/>
    </row>
    <row r="303" spans="1:15">
      <c r="A303" t="s">
        <v>321</v>
      </c>
      <c r="B303" s="1" t="str">
        <f>LEFT(Table1[[#This Row],[Item]], FIND("-", Table1[[#This Row],[Item]]) - 1)</f>
        <v>GX10</v>
      </c>
      <c r="C303" s="1" t="str">
        <f>MID(LEFT(Table1[[#This Row],[Item]], FIND("{token}", SUBSTITUTE(Table1[[#This Row],[Item]], "-", "{token}", 2)) - 1), FIND("-", Table1[[#This Row],[Item]]) + 1, LEN(Table1[[#This Row],[Item]]))</f>
        <v>RXL</v>
      </c>
      <c r="D30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0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03" s="1" cm="1">
        <f t="array" ref="F303">VALUE(INDEX(_xlfn.TEXTSPLIT(Table1[[#This Row],[Item]], "-"), 5))</f>
        <v>1</v>
      </c>
      <c r="G303" s="1" cm="1">
        <f t="array" ref="G303">VALUE(INDEX(_xlfn.TEXTSPLIT(Table1[[#This Row],[Item]], "-"), 6))</f>
        <v>2</v>
      </c>
      <c r="H303" s="1" cm="1">
        <f t="array" ref="H303">VALUE(INDEX(_xlfn.TEXTSPLIT(Table1[[#This Row],[Item]], "-"), 7))</f>
        <v>0</v>
      </c>
      <c r="I30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03" s="1" t="str">
        <f>LEFT(RIGHT(Table1[[#This Row],[Item]],6),1)</f>
        <v>N</v>
      </c>
      <c r="K303" s="1" t="str">
        <f t="shared" si="4"/>
        <v>N</v>
      </c>
      <c r="L303" s="1" t="str">
        <f>RIGHT(Table1[[#This Row],[Item]],2)</f>
        <v>CA</v>
      </c>
      <c r="M303" s="1" t="s">
        <v>33</v>
      </c>
      <c r="N303" t="s">
        <v>321</v>
      </c>
      <c r="O303" s="1"/>
    </row>
    <row r="304" spans="1:15">
      <c r="A304" t="s">
        <v>322</v>
      </c>
      <c r="B304" s="1" t="str">
        <f>LEFT(Table1[[#This Row],[Item]], FIND("-", Table1[[#This Row],[Item]]) - 1)</f>
        <v>PRT9</v>
      </c>
      <c r="C304" s="1" t="str">
        <f>MID(LEFT(Table1[[#This Row],[Item]], FIND("{token}", SUBSTITUTE(Table1[[#This Row],[Item]], "-", "{token}", 2)) - 1), FIND("-", Table1[[#This Row],[Item]]) + 1, LEN(Table1[[#This Row],[Item]]))</f>
        <v>N</v>
      </c>
      <c r="D30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0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304" s="1" cm="1">
        <f t="array" ref="F304">VALUE(INDEX(_xlfn.TEXTSPLIT(Table1[[#This Row],[Item]], "-"), 5))</f>
        <v>2</v>
      </c>
      <c r="G304" s="1" cm="1">
        <f t="array" ref="G304">VALUE(INDEX(_xlfn.TEXTSPLIT(Table1[[#This Row],[Item]], "-"), 6))</f>
        <v>0</v>
      </c>
      <c r="H304" s="1" cm="1">
        <f t="array" ref="H304">VALUE(INDEX(_xlfn.TEXTSPLIT(Table1[[#This Row],[Item]], "-"), 7))</f>
        <v>0</v>
      </c>
      <c r="I30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04" s="1" t="str">
        <f>LEFT(RIGHT(Table1[[#This Row],[Item]],6),1)</f>
        <v>Y</v>
      </c>
      <c r="K304" s="1" t="str">
        <f t="shared" si="4"/>
        <v>Y</v>
      </c>
      <c r="L304" s="1" t="str">
        <f>RIGHT(Table1[[#This Row],[Item]],2)</f>
        <v>CA</v>
      </c>
      <c r="M304" s="1" t="s">
        <v>33</v>
      </c>
      <c r="N304" t="s">
        <v>322</v>
      </c>
      <c r="O304" s="1"/>
    </row>
    <row r="305" spans="1:15">
      <c r="A305" t="s">
        <v>323</v>
      </c>
      <c r="B305" s="1" t="str">
        <f>LEFT(Table1[[#This Row],[Item]], FIND("-", Table1[[#This Row],[Item]]) - 1)</f>
        <v>GX10</v>
      </c>
      <c r="C305" s="1" t="str">
        <f>MID(LEFT(Table1[[#This Row],[Item]], FIND("{token}", SUBSTITUTE(Table1[[#This Row],[Item]], "-", "{token}", 2)) - 1), FIND("-", Table1[[#This Row],[Item]]) + 1, LEN(Table1[[#This Row],[Item]]))</f>
        <v>C</v>
      </c>
      <c r="D30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0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05" s="1" cm="1">
        <f t="array" ref="F305">VALUE(INDEX(_xlfn.TEXTSPLIT(Table1[[#This Row],[Item]], "-"), 5))</f>
        <v>1</v>
      </c>
      <c r="G305" s="1" cm="1">
        <f t="array" ref="G305">VALUE(INDEX(_xlfn.TEXTSPLIT(Table1[[#This Row],[Item]], "-"), 6))</f>
        <v>1</v>
      </c>
      <c r="H305" s="1" cm="1">
        <f t="array" ref="H305">VALUE(INDEX(_xlfn.TEXTSPLIT(Table1[[#This Row],[Item]], "-"), 7))</f>
        <v>0</v>
      </c>
      <c r="I30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05" s="1" t="str">
        <f>LEFT(RIGHT(Table1[[#This Row],[Item]],6),1)</f>
        <v>N</v>
      </c>
      <c r="K305" s="1" t="str">
        <f t="shared" si="4"/>
        <v>N</v>
      </c>
      <c r="L305" s="1" t="str">
        <f>RIGHT(Table1[[#This Row],[Item]],2)</f>
        <v>CA</v>
      </c>
      <c r="M305" s="1" t="s">
        <v>33</v>
      </c>
      <c r="N305" t="s">
        <v>323</v>
      </c>
      <c r="O305" s="1"/>
    </row>
    <row r="306" spans="1:15">
      <c r="A306" t="s">
        <v>324</v>
      </c>
      <c r="B306" s="1" t="str">
        <f>LEFT(Table1[[#This Row],[Item]], FIND("-", Table1[[#This Row],[Item]]) - 1)</f>
        <v>GX10</v>
      </c>
      <c r="C306" s="1" t="str">
        <f>MID(LEFT(Table1[[#This Row],[Item]], FIND("{token}", SUBSTITUTE(Table1[[#This Row],[Item]], "-", "{token}", 2)) - 1), FIND("-", Table1[[#This Row],[Item]]) + 1, LEN(Table1[[#This Row],[Item]]))</f>
        <v>R</v>
      </c>
      <c r="D306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0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306" s="1" cm="1">
        <f t="array" ref="F306">VALUE(INDEX(_xlfn.TEXTSPLIT(Table1[[#This Row],[Item]], "-"), 5))</f>
        <v>1</v>
      </c>
      <c r="G306" s="1" cm="1">
        <f t="array" ref="G306">VALUE(INDEX(_xlfn.TEXTSPLIT(Table1[[#This Row],[Item]], "-"), 6))</f>
        <v>2</v>
      </c>
      <c r="H306" s="1" cm="1">
        <f t="array" ref="H306">VALUE(INDEX(_xlfn.TEXTSPLIT(Table1[[#This Row],[Item]], "-"), 7))</f>
        <v>0</v>
      </c>
      <c r="I30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06" s="1" t="str">
        <f>LEFT(RIGHT(Table1[[#This Row],[Item]],6),1)</f>
        <v>N</v>
      </c>
      <c r="K306" s="1" t="str">
        <f t="shared" si="4"/>
        <v>N</v>
      </c>
      <c r="L306" s="1" t="str">
        <f>RIGHT(Table1[[#This Row],[Item]],2)</f>
        <v>CA</v>
      </c>
      <c r="M306" s="1" t="s">
        <v>33</v>
      </c>
      <c r="N306" t="s">
        <v>324</v>
      </c>
      <c r="O306" s="1"/>
    </row>
    <row r="307" spans="1:15">
      <c r="A307" t="s">
        <v>325</v>
      </c>
      <c r="B307" s="1" t="str">
        <f>LEFT(Table1[[#This Row],[Item]], FIND("-", Table1[[#This Row],[Item]]) - 1)</f>
        <v>GX08</v>
      </c>
      <c r="C307" s="1" t="str">
        <f>MID(LEFT(Table1[[#This Row],[Item]], FIND("{token}", SUBSTITUTE(Table1[[#This Row],[Item]], "-", "{token}", 2)) - 1), FIND("-", Table1[[#This Row],[Item]]) + 1, LEN(Table1[[#This Row],[Item]]))</f>
        <v>L</v>
      </c>
      <c r="D30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0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307" s="1" cm="1">
        <f t="array" ref="F307">VALUE(INDEX(_xlfn.TEXTSPLIT(Table1[[#This Row],[Item]], "-"), 5))</f>
        <v>1</v>
      </c>
      <c r="G307" s="1" cm="1">
        <f t="array" ref="G307">VALUE(INDEX(_xlfn.TEXTSPLIT(Table1[[#This Row],[Item]], "-"), 6))</f>
        <v>1</v>
      </c>
      <c r="H307" s="1" cm="1">
        <f t="array" ref="H307">VALUE(INDEX(_xlfn.TEXTSPLIT(Table1[[#This Row],[Item]], "-"), 7))</f>
        <v>0</v>
      </c>
      <c r="I30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07" s="1" t="str">
        <f>LEFT(RIGHT(Table1[[#This Row],[Item]],6),1)</f>
        <v>N</v>
      </c>
      <c r="K307" s="1" t="str">
        <f t="shared" si="4"/>
        <v>N</v>
      </c>
      <c r="L307" s="1" t="str">
        <f>RIGHT(Table1[[#This Row],[Item]],2)</f>
        <v>CA</v>
      </c>
      <c r="M307" s="1" t="s">
        <v>33</v>
      </c>
      <c r="N307" t="s">
        <v>325</v>
      </c>
      <c r="O307" s="1"/>
    </row>
    <row r="308" spans="1:15">
      <c r="A308" t="s">
        <v>326</v>
      </c>
      <c r="B308" s="1" t="str">
        <f>LEFT(Table1[[#This Row],[Item]], FIND("-", Table1[[#This Row],[Item]]) - 1)</f>
        <v>GX09</v>
      </c>
      <c r="C308" s="1" t="str">
        <f>MID(LEFT(Table1[[#This Row],[Item]], FIND("{token}", SUBSTITUTE(Table1[[#This Row],[Item]], "-", "{token}", 2)) - 1), FIND("-", Table1[[#This Row],[Item]]) + 1, LEN(Table1[[#This Row],[Item]]))</f>
        <v>C</v>
      </c>
      <c r="D308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30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08" s="1" cm="1">
        <f t="array" ref="F308">VALUE(INDEX(_xlfn.TEXTSPLIT(Table1[[#This Row],[Item]], "-"), 5))</f>
        <v>1</v>
      </c>
      <c r="G308" s="1" cm="1">
        <f t="array" ref="G308">VALUE(INDEX(_xlfn.TEXTSPLIT(Table1[[#This Row],[Item]], "-"), 6))</f>
        <v>2</v>
      </c>
      <c r="H308" s="1" cm="1">
        <f t="array" ref="H308">VALUE(INDEX(_xlfn.TEXTSPLIT(Table1[[#This Row],[Item]], "-"), 7))</f>
        <v>0</v>
      </c>
      <c r="I30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08" s="1" t="str">
        <f>LEFT(RIGHT(Table1[[#This Row],[Item]],6),1)</f>
        <v>N</v>
      </c>
      <c r="K308" s="1" t="str">
        <f t="shared" si="4"/>
        <v>N</v>
      </c>
      <c r="L308" s="1" t="str">
        <f>RIGHT(Table1[[#This Row],[Item]],2)</f>
        <v>CA</v>
      </c>
      <c r="M308" s="1" t="s">
        <v>33</v>
      </c>
      <c r="N308" t="s">
        <v>326</v>
      </c>
      <c r="O308" s="1"/>
    </row>
    <row r="309" spans="1:15">
      <c r="A309" t="s">
        <v>327</v>
      </c>
      <c r="B309" s="1" t="str">
        <f>LEFT(Table1[[#This Row],[Item]], FIND("-", Table1[[#This Row],[Item]]) - 1)</f>
        <v>GX10</v>
      </c>
      <c r="C309" s="1" t="str">
        <f>MID(LEFT(Table1[[#This Row],[Item]], FIND("{token}", SUBSTITUTE(Table1[[#This Row],[Item]], "-", "{token}", 2)) - 1), FIND("-", Table1[[#This Row],[Item]]) + 1, LEN(Table1[[#This Row],[Item]]))</f>
        <v>D</v>
      </c>
      <c r="D30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0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309" s="1" cm="1">
        <f t="array" ref="F309">VALUE(INDEX(_xlfn.TEXTSPLIT(Table1[[#This Row],[Item]], "-"), 5))</f>
        <v>1</v>
      </c>
      <c r="G309" s="1" cm="1">
        <f t="array" ref="G309">VALUE(INDEX(_xlfn.TEXTSPLIT(Table1[[#This Row],[Item]], "-"), 6))</f>
        <v>0</v>
      </c>
      <c r="H309" s="1" cm="1">
        <f t="array" ref="H309">VALUE(INDEX(_xlfn.TEXTSPLIT(Table1[[#This Row],[Item]], "-"), 7))</f>
        <v>1</v>
      </c>
      <c r="I30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09" s="1" t="str">
        <f>LEFT(RIGHT(Table1[[#This Row],[Item]],6),1)</f>
        <v>N</v>
      </c>
      <c r="K309" s="1" t="str">
        <f t="shared" si="4"/>
        <v>N</v>
      </c>
      <c r="L309" s="1" t="str">
        <f>RIGHT(Table1[[#This Row],[Item]],2)</f>
        <v>CA</v>
      </c>
      <c r="M309" s="1" t="s">
        <v>33</v>
      </c>
      <c r="N309" t="s">
        <v>327</v>
      </c>
      <c r="O309" s="1"/>
    </row>
    <row r="310" spans="1:15">
      <c r="A310" t="s">
        <v>328</v>
      </c>
      <c r="B310" s="1" t="str">
        <f>LEFT(Table1[[#This Row],[Item]], FIND("-", Table1[[#This Row],[Item]]) - 1)</f>
        <v>ARB6</v>
      </c>
      <c r="C310" s="1" t="str">
        <f>MID(LEFT(Table1[[#This Row],[Item]], FIND("{token}", SUBSTITUTE(Table1[[#This Row],[Item]], "-", "{token}", 2)) - 1), FIND("-", Table1[[#This Row],[Item]]) + 1, LEN(Table1[[#This Row],[Item]]))</f>
        <v>L</v>
      </c>
      <c r="D310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31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10" s="1" cm="1">
        <f t="array" ref="F310">VALUE(INDEX(_xlfn.TEXTSPLIT(Table1[[#This Row],[Item]], "-"), 5))</f>
        <v>0</v>
      </c>
      <c r="G310" s="1" cm="1">
        <f t="array" ref="G310">VALUE(INDEX(_xlfn.TEXTSPLIT(Table1[[#This Row],[Item]], "-"), 6))</f>
        <v>0</v>
      </c>
      <c r="H310" s="1" cm="1">
        <f t="array" ref="H310">VALUE(INDEX(_xlfn.TEXTSPLIT(Table1[[#This Row],[Item]], "-"), 7))</f>
        <v>0</v>
      </c>
      <c r="I31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10" s="1" t="str">
        <f>LEFT(RIGHT(Table1[[#This Row],[Item]],6),1)</f>
        <v>Y</v>
      </c>
      <c r="K310" s="1" t="str">
        <f t="shared" si="4"/>
        <v>N</v>
      </c>
      <c r="L310" s="1" t="str">
        <f>RIGHT(Table1[[#This Row],[Item]],2)</f>
        <v>CA</v>
      </c>
      <c r="M310" s="1" t="s">
        <v>33</v>
      </c>
      <c r="N310" t="s">
        <v>328</v>
      </c>
      <c r="O310" s="1"/>
    </row>
    <row r="311" spans="1:15">
      <c r="A311" t="s">
        <v>329</v>
      </c>
      <c r="B311" s="1" t="str">
        <f>LEFT(Table1[[#This Row],[Item]], FIND("-", Table1[[#This Row],[Item]]) - 1)</f>
        <v>GX06</v>
      </c>
      <c r="C311" s="1" t="str">
        <f>MID(LEFT(Table1[[#This Row],[Item]], FIND("{token}", SUBSTITUTE(Table1[[#This Row],[Item]], "-", "{token}", 2)) - 1), FIND("-", Table1[[#This Row],[Item]]) + 1, LEN(Table1[[#This Row],[Item]]))</f>
        <v>L</v>
      </c>
      <c r="D31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1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11" s="1" cm="1">
        <f t="array" ref="F311">VALUE(INDEX(_xlfn.TEXTSPLIT(Table1[[#This Row],[Item]], "-"), 5))</f>
        <v>1</v>
      </c>
      <c r="G311" s="1" cm="1">
        <f t="array" ref="G311">VALUE(INDEX(_xlfn.TEXTSPLIT(Table1[[#This Row],[Item]], "-"), 6))</f>
        <v>0</v>
      </c>
      <c r="H311" s="1" cm="1">
        <f t="array" ref="H311">VALUE(INDEX(_xlfn.TEXTSPLIT(Table1[[#This Row],[Item]], "-"), 7))</f>
        <v>0</v>
      </c>
      <c r="I31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11" s="1" t="str">
        <f>LEFT(RIGHT(Table1[[#This Row],[Item]],6),1)</f>
        <v>N</v>
      </c>
      <c r="K311" s="1" t="str">
        <f t="shared" si="4"/>
        <v>N</v>
      </c>
      <c r="L311" s="1" t="str">
        <f>RIGHT(Table1[[#This Row],[Item]],2)</f>
        <v>CA</v>
      </c>
      <c r="M311" s="1" t="s">
        <v>33</v>
      </c>
      <c r="N311" t="s">
        <v>329</v>
      </c>
      <c r="O311" s="1"/>
    </row>
    <row r="312" spans="1:15">
      <c r="A312" t="s">
        <v>330</v>
      </c>
      <c r="B312" s="1" t="str">
        <f>LEFT(Table1[[#This Row],[Item]], FIND("-", Table1[[#This Row],[Item]]) - 1)</f>
        <v>PRT7</v>
      </c>
      <c r="C312" s="1" t="str">
        <f>MID(LEFT(Table1[[#This Row],[Item]], FIND("{token}", SUBSTITUTE(Table1[[#This Row],[Item]], "-", "{token}", 2)) - 1), FIND("-", Table1[[#This Row],[Item]]) + 1, LEN(Table1[[#This Row],[Item]]))</f>
        <v>N</v>
      </c>
      <c r="D31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1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312" s="1" cm="1">
        <f t="array" ref="F312">VALUE(INDEX(_xlfn.TEXTSPLIT(Table1[[#This Row],[Item]], "-"), 5))</f>
        <v>1</v>
      </c>
      <c r="G312" s="1" cm="1">
        <f t="array" ref="G312">VALUE(INDEX(_xlfn.TEXTSPLIT(Table1[[#This Row],[Item]], "-"), 6))</f>
        <v>0</v>
      </c>
      <c r="H312" s="1" cm="1">
        <f t="array" ref="H312">VALUE(INDEX(_xlfn.TEXTSPLIT(Table1[[#This Row],[Item]], "-"), 7))</f>
        <v>0</v>
      </c>
      <c r="I312" s="1" t="s">
        <v>331</v>
      </c>
      <c r="J312" s="1" t="str">
        <f>LEFT(RIGHT(Table1[[#This Row],[Item]],6),1)</f>
        <v>Y</v>
      </c>
      <c r="K312" s="1" t="str">
        <f t="shared" si="4"/>
        <v>Y</v>
      </c>
      <c r="L312" s="1" t="str">
        <f>RIGHT(Table1[[#This Row],[Item]],2)</f>
        <v>CA</v>
      </c>
      <c r="M312" s="1" t="s">
        <v>33</v>
      </c>
      <c r="N312" t="s">
        <v>330</v>
      </c>
      <c r="O312" s="1"/>
    </row>
    <row r="313" spans="1:15">
      <c r="A313" t="s">
        <v>332</v>
      </c>
      <c r="B313" s="1" t="str">
        <f>LEFT(Table1[[#This Row],[Item]], FIND("-", Table1[[#This Row],[Item]]) - 1)</f>
        <v>ARB8</v>
      </c>
      <c r="C313" s="1" t="str">
        <f>MID(LEFT(Table1[[#This Row],[Item]], FIND("{token}", SUBSTITUTE(Table1[[#This Row],[Item]], "-", "{token}", 2)) - 1), FIND("-", Table1[[#This Row],[Item]]) + 1, LEN(Table1[[#This Row],[Item]]))</f>
        <v>L</v>
      </c>
      <c r="D31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1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313" s="1" cm="1">
        <f t="array" ref="F313">VALUE(INDEX(_xlfn.TEXTSPLIT(Table1[[#This Row],[Item]], "-"), 5))</f>
        <v>1</v>
      </c>
      <c r="G313" s="1" cm="1">
        <f t="array" ref="G313">VALUE(INDEX(_xlfn.TEXTSPLIT(Table1[[#This Row],[Item]], "-"), 6))</f>
        <v>1</v>
      </c>
      <c r="H313" s="1" cm="1">
        <f t="array" ref="H313">VALUE(INDEX(_xlfn.TEXTSPLIT(Table1[[#This Row],[Item]], "-"), 7))</f>
        <v>0</v>
      </c>
      <c r="I313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313" s="1" t="str">
        <f>LEFT(RIGHT(Table1[[#This Row],[Item]],6),1)</f>
        <v>Y</v>
      </c>
      <c r="K313" s="1" t="str">
        <f t="shared" si="4"/>
        <v>Y</v>
      </c>
      <c r="L313" s="1" t="str">
        <f>RIGHT(Table1[[#This Row],[Item]],2)</f>
        <v>CA</v>
      </c>
      <c r="M313" s="1" t="s">
        <v>33</v>
      </c>
      <c r="N313" t="s">
        <v>332</v>
      </c>
      <c r="O313" s="1"/>
    </row>
    <row r="314" spans="1:15">
      <c r="A314" t="s">
        <v>333</v>
      </c>
      <c r="B314" s="1" t="str">
        <f>LEFT(Table1[[#This Row],[Item]], FIND("-", Table1[[#This Row],[Item]]) - 1)</f>
        <v>PRT7</v>
      </c>
      <c r="C314" s="1" t="str">
        <f>MID(LEFT(Table1[[#This Row],[Item]], FIND("{token}", SUBSTITUTE(Table1[[#This Row],[Item]], "-", "{token}", 2)) - 1), FIND("-", Table1[[#This Row],[Item]]) + 1, LEN(Table1[[#This Row],[Item]]))</f>
        <v>N</v>
      </c>
      <c r="D31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1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314" s="1" cm="1">
        <f t="array" ref="F314">VALUE(INDEX(_xlfn.TEXTSPLIT(Table1[[#This Row],[Item]], "-"), 5))</f>
        <v>1</v>
      </c>
      <c r="G314" s="1" cm="1">
        <f t="array" ref="G314">VALUE(INDEX(_xlfn.TEXTSPLIT(Table1[[#This Row],[Item]], "-"), 6))</f>
        <v>0</v>
      </c>
      <c r="H314" s="1" cm="1">
        <f t="array" ref="H314">VALUE(INDEX(_xlfn.TEXTSPLIT(Table1[[#This Row],[Item]], "-"), 7))</f>
        <v>0</v>
      </c>
      <c r="I314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314" s="1" t="str">
        <f>LEFT(RIGHT(Table1[[#This Row],[Item]],6),1)</f>
        <v>Y</v>
      </c>
      <c r="K314" s="1" t="str">
        <f t="shared" si="4"/>
        <v>N</v>
      </c>
      <c r="L314" s="1" t="str">
        <f>RIGHT(Table1[[#This Row],[Item]],2)</f>
        <v>CA</v>
      </c>
      <c r="M314" s="1" t="s">
        <v>33</v>
      </c>
      <c r="N314" t="s">
        <v>333</v>
      </c>
      <c r="O314" s="1"/>
    </row>
    <row r="315" spans="1:15">
      <c r="A315" t="s">
        <v>334</v>
      </c>
      <c r="B315" s="1" t="str">
        <f>LEFT(Table1[[#This Row],[Item]], FIND("-", Table1[[#This Row],[Item]]) - 1)</f>
        <v>PRT9</v>
      </c>
      <c r="C315" s="1" t="str">
        <f>MID(LEFT(Table1[[#This Row],[Item]], FIND("{token}", SUBSTITUTE(Table1[[#This Row],[Item]], "-", "{token}", 2)) - 1), FIND("-", Table1[[#This Row],[Item]]) + 1, LEN(Table1[[#This Row],[Item]]))</f>
        <v>N</v>
      </c>
      <c r="D31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1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315" s="1" cm="1">
        <f t="array" ref="F315">VALUE(INDEX(_xlfn.TEXTSPLIT(Table1[[#This Row],[Item]], "-"), 5))</f>
        <v>2</v>
      </c>
      <c r="G315" s="1" cm="1">
        <f t="array" ref="G315">VALUE(INDEX(_xlfn.TEXTSPLIT(Table1[[#This Row],[Item]], "-"), 6))</f>
        <v>0</v>
      </c>
      <c r="H315" s="1" cm="1">
        <f t="array" ref="H315">VALUE(INDEX(_xlfn.TEXTSPLIT(Table1[[#This Row],[Item]], "-"), 7))</f>
        <v>0</v>
      </c>
      <c r="I315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315" s="1" t="str">
        <f>LEFT(RIGHT(Table1[[#This Row],[Item]],6),1)</f>
        <v>Y</v>
      </c>
      <c r="K315" s="1" t="str">
        <f t="shared" si="4"/>
        <v>Y</v>
      </c>
      <c r="L315" s="1" t="str">
        <f>RIGHT(Table1[[#This Row],[Item]],2)</f>
        <v>CA</v>
      </c>
      <c r="M315" s="1" t="s">
        <v>33</v>
      </c>
      <c r="N315" s="3" t="s">
        <v>334</v>
      </c>
      <c r="O315" s="1"/>
    </row>
    <row r="316" spans="1:15">
      <c r="A316" t="s">
        <v>335</v>
      </c>
      <c r="B316" s="1" t="str">
        <f>LEFT(Table1[[#This Row],[Item]], FIND("-", Table1[[#This Row],[Item]]) - 1)</f>
        <v>GX06</v>
      </c>
      <c r="C316" s="1" t="str">
        <f>MID(LEFT(Table1[[#This Row],[Item]], FIND("{token}", SUBSTITUTE(Table1[[#This Row],[Item]], "-", "{token}", 2)) - 1), FIND("-", Table1[[#This Row],[Item]]) + 1, LEN(Table1[[#This Row],[Item]]))</f>
        <v>L</v>
      </c>
      <c r="D316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31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16" s="1" cm="1">
        <f t="array" ref="F316">VALUE(INDEX(_xlfn.TEXTSPLIT(Table1[[#This Row],[Item]], "-"), 5))</f>
        <v>1</v>
      </c>
      <c r="G316" s="1" cm="1">
        <f t="array" ref="G316">VALUE(INDEX(_xlfn.TEXTSPLIT(Table1[[#This Row],[Item]], "-"), 6))</f>
        <v>0</v>
      </c>
      <c r="H316" s="1" cm="1">
        <f t="array" ref="H316">VALUE(INDEX(_xlfn.TEXTSPLIT(Table1[[#This Row],[Item]], "-"), 7))</f>
        <v>0</v>
      </c>
      <c r="I31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16" s="1" t="str">
        <f>LEFT(RIGHT(Table1[[#This Row],[Item]],6),1)</f>
        <v>N</v>
      </c>
      <c r="K316" s="1" t="str">
        <f t="shared" si="4"/>
        <v>N</v>
      </c>
      <c r="L316" s="1" t="str">
        <f>RIGHT(Table1[[#This Row],[Item]],2)</f>
        <v>CA</v>
      </c>
      <c r="M316" s="1" t="s">
        <v>33</v>
      </c>
      <c r="N316" t="s">
        <v>335</v>
      </c>
      <c r="O316" s="1"/>
    </row>
    <row r="317" spans="1:15">
      <c r="A317" t="s">
        <v>336</v>
      </c>
      <c r="B317" s="1" t="str">
        <f>LEFT(Table1[[#This Row],[Item]], FIND("-", Table1[[#This Row],[Item]]) - 1)</f>
        <v>ARB6</v>
      </c>
      <c r="C317" s="1" t="str">
        <f>MID(LEFT(Table1[[#This Row],[Item]], FIND("{token}", SUBSTITUTE(Table1[[#This Row],[Item]], "-", "{token}", 2)) - 1), FIND("-", Table1[[#This Row],[Item]]) + 1, LEN(Table1[[#This Row],[Item]]))</f>
        <v>L</v>
      </c>
      <c r="D317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31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17" s="1" cm="1">
        <f t="array" ref="F317">VALUE(INDEX(_xlfn.TEXTSPLIT(Table1[[#This Row],[Item]], "-"), 5))</f>
        <v>1</v>
      </c>
      <c r="G317" s="1" cm="1">
        <f t="array" ref="G317">VALUE(INDEX(_xlfn.TEXTSPLIT(Table1[[#This Row],[Item]], "-"), 6))</f>
        <v>0</v>
      </c>
      <c r="H317" s="1" cm="1">
        <f t="array" ref="H317">VALUE(INDEX(_xlfn.TEXTSPLIT(Table1[[#This Row],[Item]], "-"), 7))</f>
        <v>0</v>
      </c>
      <c r="I31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17" s="1" t="str">
        <f>LEFT(RIGHT(Table1[[#This Row],[Item]],6),1)</f>
        <v>Y</v>
      </c>
      <c r="K317" s="1" t="str">
        <f t="shared" si="4"/>
        <v>N</v>
      </c>
      <c r="L317" s="1" t="str">
        <f>RIGHT(Table1[[#This Row],[Item]],2)</f>
        <v>CA</v>
      </c>
      <c r="M317" s="1" t="s">
        <v>33</v>
      </c>
      <c r="N317" t="s">
        <v>336</v>
      </c>
      <c r="O317" s="1"/>
    </row>
    <row r="318" spans="1:15">
      <c r="A318" t="s">
        <v>337</v>
      </c>
      <c r="B318" s="1" t="str">
        <f>LEFT(Table1[[#This Row],[Item]], FIND("-", Table1[[#This Row],[Item]]) - 1)</f>
        <v>GX09</v>
      </c>
      <c r="C318" s="1" t="str">
        <f>MID(LEFT(Table1[[#This Row],[Item]], FIND("{token}", SUBSTITUTE(Table1[[#This Row],[Item]], "-", "{token}", 2)) - 1), FIND("-", Table1[[#This Row],[Item]]) + 1, LEN(Table1[[#This Row],[Item]]))</f>
        <v>L</v>
      </c>
      <c r="D318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31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18" s="1" cm="1">
        <f t="array" ref="F318">VALUE(INDEX(_xlfn.TEXTSPLIT(Table1[[#This Row],[Item]], "-"), 5))</f>
        <v>1</v>
      </c>
      <c r="G318" s="1" cm="1">
        <f t="array" ref="G318">VALUE(INDEX(_xlfn.TEXTSPLIT(Table1[[#This Row],[Item]], "-"), 6))</f>
        <v>2</v>
      </c>
      <c r="H318" s="1" cm="1">
        <f t="array" ref="H318">VALUE(INDEX(_xlfn.TEXTSPLIT(Table1[[#This Row],[Item]], "-"), 7))</f>
        <v>0</v>
      </c>
      <c r="I31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18" s="1" t="str">
        <f>LEFT(RIGHT(Table1[[#This Row],[Item]],6),1)</f>
        <v>N</v>
      </c>
      <c r="K318" s="1" t="str">
        <f t="shared" si="4"/>
        <v>N</v>
      </c>
      <c r="L318" s="1" t="str">
        <f>RIGHT(Table1[[#This Row],[Item]],2)</f>
        <v>CA</v>
      </c>
      <c r="M318" s="1" t="s">
        <v>33</v>
      </c>
      <c r="N318" t="s">
        <v>337</v>
      </c>
      <c r="O318" s="1"/>
    </row>
    <row r="319" spans="1:15">
      <c r="A319" t="s">
        <v>338</v>
      </c>
      <c r="B319" s="1" t="str">
        <f>LEFT(Table1[[#This Row],[Item]], FIND("-", Table1[[#This Row],[Item]]) - 1)</f>
        <v>GX10</v>
      </c>
      <c r="C319" s="1" t="str">
        <f>MID(LEFT(Table1[[#This Row],[Item]], FIND("{token}", SUBSTITUTE(Table1[[#This Row],[Item]], "-", "{token}", 2)) - 1), FIND("-", Table1[[#This Row],[Item]]) + 1, LEN(Table1[[#This Row],[Item]]))</f>
        <v>DXL</v>
      </c>
      <c r="D31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1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19" s="1" cm="1">
        <f t="array" ref="F319">VALUE(INDEX(_xlfn.TEXTSPLIT(Table1[[#This Row],[Item]], "-"), 5))</f>
        <v>1</v>
      </c>
      <c r="G319" s="1" cm="1">
        <f t="array" ref="G319">VALUE(INDEX(_xlfn.TEXTSPLIT(Table1[[#This Row],[Item]], "-"), 6))</f>
        <v>1</v>
      </c>
      <c r="H319" s="1" cm="1">
        <f t="array" ref="H319">VALUE(INDEX(_xlfn.TEXTSPLIT(Table1[[#This Row],[Item]], "-"), 7))</f>
        <v>1</v>
      </c>
      <c r="I31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19" s="1" t="str">
        <f>LEFT(RIGHT(Table1[[#This Row],[Item]],6),1)</f>
        <v>N</v>
      </c>
      <c r="K319" s="1" t="str">
        <f t="shared" si="4"/>
        <v>N</v>
      </c>
      <c r="L319" s="1" t="str">
        <f>RIGHT(Table1[[#This Row],[Item]],2)</f>
        <v>CA</v>
      </c>
      <c r="M319" s="1" t="s">
        <v>33</v>
      </c>
      <c r="N319" t="s">
        <v>338</v>
      </c>
      <c r="O319" s="1"/>
    </row>
    <row r="320" spans="1:15">
      <c r="A320" t="s">
        <v>339</v>
      </c>
      <c r="B320" s="1" t="str">
        <f>LEFT(Table1[[#This Row],[Item]], FIND("-", Table1[[#This Row],[Item]]) - 1)</f>
        <v>ARB8</v>
      </c>
      <c r="C320" s="1" t="str">
        <f>MID(LEFT(Table1[[#This Row],[Item]], FIND("{token}", SUBSTITUTE(Table1[[#This Row],[Item]], "-", "{token}", 2)) - 1), FIND("-", Table1[[#This Row],[Item]]) + 1, LEN(Table1[[#This Row],[Item]]))</f>
        <v>L</v>
      </c>
      <c r="D320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32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20" s="1" cm="1">
        <f t="array" ref="F320">VALUE(INDEX(_xlfn.TEXTSPLIT(Table1[[#This Row],[Item]], "-"), 5))</f>
        <v>1</v>
      </c>
      <c r="G320" s="1" cm="1">
        <f t="array" ref="G320">VALUE(INDEX(_xlfn.TEXTSPLIT(Table1[[#This Row],[Item]], "-"), 6))</f>
        <v>1</v>
      </c>
      <c r="H320" s="1" cm="1">
        <f t="array" ref="H320">VALUE(INDEX(_xlfn.TEXTSPLIT(Table1[[#This Row],[Item]], "-"), 7))</f>
        <v>0</v>
      </c>
      <c r="I320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320" s="1" t="str">
        <f>LEFT(RIGHT(Table1[[#This Row],[Item]],6),1)</f>
        <v>Y</v>
      </c>
      <c r="K320" s="1" t="str">
        <f t="shared" si="4"/>
        <v>N</v>
      </c>
      <c r="L320" s="1" t="str">
        <f>RIGHT(Table1[[#This Row],[Item]],2)</f>
        <v>CA</v>
      </c>
      <c r="M320" s="1" t="s">
        <v>33</v>
      </c>
      <c r="N320" t="s">
        <v>339</v>
      </c>
      <c r="O320" s="1"/>
    </row>
    <row r="321" spans="1:15">
      <c r="A321" t="s">
        <v>340</v>
      </c>
      <c r="B321" s="1" t="str">
        <f>LEFT(Table1[[#This Row],[Item]], FIND("-", Table1[[#This Row],[Item]]) - 1)</f>
        <v>GX10</v>
      </c>
      <c r="C321" s="1" t="str">
        <f>MID(LEFT(Table1[[#This Row],[Item]], FIND("{token}", SUBSTITUTE(Table1[[#This Row],[Item]], "-", "{token}", 2)) - 1), FIND("-", Table1[[#This Row],[Item]]) + 1, LEN(Table1[[#This Row],[Item]]))</f>
        <v>CXL</v>
      </c>
      <c r="D321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32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321" s="1" cm="1">
        <f t="array" ref="F321">VALUE(INDEX(_xlfn.TEXTSPLIT(Table1[[#This Row],[Item]], "-"), 5))</f>
        <v>1</v>
      </c>
      <c r="G321" s="1" cm="1">
        <f t="array" ref="G321">VALUE(INDEX(_xlfn.TEXTSPLIT(Table1[[#This Row],[Item]], "-"), 6))</f>
        <v>2</v>
      </c>
      <c r="H321" s="1" cm="1">
        <f t="array" ref="H321">VALUE(INDEX(_xlfn.TEXTSPLIT(Table1[[#This Row],[Item]], "-"), 7))</f>
        <v>0</v>
      </c>
      <c r="I32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21" s="1" t="str">
        <f>LEFT(RIGHT(Table1[[#This Row],[Item]],6),1)</f>
        <v>N</v>
      </c>
      <c r="K321" s="1" t="str">
        <f t="shared" si="4"/>
        <v>N</v>
      </c>
      <c r="L321" s="1" t="str">
        <f>RIGHT(Table1[[#This Row],[Item]],2)</f>
        <v>CA</v>
      </c>
      <c r="M321" s="1" t="s">
        <v>33</v>
      </c>
      <c r="N321" t="s">
        <v>340</v>
      </c>
      <c r="O321" s="1"/>
    </row>
    <row r="322" spans="1:15">
      <c r="A322" t="s">
        <v>341</v>
      </c>
      <c r="B322" s="1" t="str">
        <f>LEFT(Table1[[#This Row],[Item]], FIND("-", Table1[[#This Row],[Item]]) - 1)</f>
        <v>GX10</v>
      </c>
      <c r="C322" s="1" t="str">
        <f>MID(LEFT(Table1[[#This Row],[Item]], FIND("{token}", SUBSTITUTE(Table1[[#This Row],[Item]], "-", "{token}", 2)) - 1), FIND("-", Table1[[#This Row],[Item]]) + 1, LEN(Table1[[#This Row],[Item]]))</f>
        <v>R</v>
      </c>
      <c r="D322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32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322" s="1" cm="1">
        <f t="array" ref="F322">VALUE(INDEX(_xlfn.TEXTSPLIT(Table1[[#This Row],[Item]], "-"), 5))</f>
        <v>1</v>
      </c>
      <c r="G322" s="1" cm="1">
        <f t="array" ref="G322">VALUE(INDEX(_xlfn.TEXTSPLIT(Table1[[#This Row],[Item]], "-"), 6))</f>
        <v>2</v>
      </c>
      <c r="H322" s="1" cm="1">
        <f t="array" ref="H322">VALUE(INDEX(_xlfn.TEXTSPLIT(Table1[[#This Row],[Item]], "-"), 7))</f>
        <v>0</v>
      </c>
      <c r="I32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22" s="1" t="str">
        <f>LEFT(RIGHT(Table1[[#This Row],[Item]],6),1)</f>
        <v>N</v>
      </c>
      <c r="K322" s="1" t="str">
        <f t="shared" ref="K322:K333" si="5">MID(A322, LEN(A322)-3, 1)</f>
        <v>N</v>
      </c>
      <c r="L322" s="1" t="str">
        <f>RIGHT(Table1[[#This Row],[Item]],2)</f>
        <v>CA</v>
      </c>
      <c r="M322" s="1" t="s">
        <v>33</v>
      </c>
      <c r="N322" t="s">
        <v>341</v>
      </c>
      <c r="O322" s="1"/>
    </row>
    <row r="323" spans="1:15">
      <c r="A323" t="s">
        <v>342</v>
      </c>
      <c r="B323" s="1" t="str">
        <f>LEFT(Table1[[#This Row],[Item]], FIND("-", Table1[[#This Row],[Item]]) - 1)</f>
        <v>PRT9</v>
      </c>
      <c r="C323" s="1" t="str">
        <f>MID(LEFT(Table1[[#This Row],[Item]], FIND("{token}", SUBSTITUTE(Table1[[#This Row],[Item]], "-", "{token}", 2)) - 1), FIND("-", Table1[[#This Row],[Item]]) + 1, LEN(Table1[[#This Row],[Item]]))</f>
        <v>N</v>
      </c>
      <c r="D32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2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323" s="1" cm="1">
        <f t="array" ref="F323">VALUE(INDEX(_xlfn.TEXTSPLIT(Table1[[#This Row],[Item]], "-"), 5))</f>
        <v>2</v>
      </c>
      <c r="G323" s="1" cm="1">
        <f t="array" ref="G323">VALUE(INDEX(_xlfn.TEXTSPLIT(Table1[[#This Row],[Item]], "-"), 6))</f>
        <v>0</v>
      </c>
      <c r="H323" s="1" cm="1">
        <f t="array" ref="H323">VALUE(INDEX(_xlfn.TEXTSPLIT(Table1[[#This Row],[Item]], "-"), 7))</f>
        <v>0</v>
      </c>
      <c r="I323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323" s="1" t="str">
        <f>LEFT(RIGHT(Table1[[#This Row],[Item]],6),1)</f>
        <v>Y</v>
      </c>
      <c r="K323" s="1" t="str">
        <f t="shared" si="5"/>
        <v>Y</v>
      </c>
      <c r="L323" s="1" t="str">
        <f>RIGHT(Table1[[#This Row],[Item]],2)</f>
        <v>CA</v>
      </c>
      <c r="M323" s="1" t="s">
        <v>33</v>
      </c>
      <c r="N323" t="s">
        <v>342</v>
      </c>
      <c r="O323" s="1"/>
    </row>
    <row r="324" spans="1:15">
      <c r="A324" t="s">
        <v>343</v>
      </c>
      <c r="B324" s="1" t="str">
        <f>LEFT(Table1[[#This Row],[Item]], FIND("-", Table1[[#This Row],[Item]]) - 1)</f>
        <v>ARB8</v>
      </c>
      <c r="C324" s="1" t="str">
        <f>MID(LEFT(Table1[[#This Row],[Item]], FIND("{token}", SUBSTITUTE(Table1[[#This Row],[Item]], "-", "{token}", 2)) - 1), FIND("-", Table1[[#This Row],[Item]]) + 1, LEN(Table1[[#This Row],[Item]]))</f>
        <v>LXL</v>
      </c>
      <c r="D32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2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24" s="1" cm="1">
        <f t="array" ref="F324">VALUE(INDEX(_xlfn.TEXTSPLIT(Table1[[#This Row],[Item]], "-"), 5))</f>
        <v>1</v>
      </c>
      <c r="G324" s="1" cm="1">
        <f t="array" ref="G324">VALUE(INDEX(_xlfn.TEXTSPLIT(Table1[[#This Row],[Item]], "-"), 6))</f>
        <v>0</v>
      </c>
      <c r="H324" s="1" cm="1">
        <f t="array" ref="H324">VALUE(INDEX(_xlfn.TEXTSPLIT(Table1[[#This Row],[Item]], "-"), 7))</f>
        <v>0</v>
      </c>
      <c r="I324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324" s="1" t="str">
        <f>LEFT(RIGHT(Table1[[#This Row],[Item]],6),1)</f>
        <v>Y</v>
      </c>
      <c r="K324" s="1" t="str">
        <f t="shared" si="5"/>
        <v>N</v>
      </c>
      <c r="L324" s="1" t="str">
        <f>RIGHT(Table1[[#This Row],[Item]],2)</f>
        <v>CA</v>
      </c>
      <c r="M324" s="1" t="s">
        <v>33</v>
      </c>
      <c r="N324" t="s">
        <v>343</v>
      </c>
      <c r="O324" s="1"/>
    </row>
    <row r="325" spans="1:15">
      <c r="A325" t="s">
        <v>344</v>
      </c>
      <c r="B325" s="1" t="str">
        <f>LEFT(Table1[[#This Row],[Item]], FIND("-", Table1[[#This Row],[Item]]) - 1)</f>
        <v>GX06</v>
      </c>
      <c r="C325" s="1" t="str">
        <f>MID(LEFT(Table1[[#This Row],[Item]], FIND("{token}", SUBSTITUTE(Table1[[#This Row],[Item]], "-", "{token}", 2)) - 1), FIND("-", Table1[[#This Row],[Item]]) + 1, LEN(Table1[[#This Row],[Item]]))</f>
        <v>R</v>
      </c>
      <c r="D325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2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25" s="1" cm="1">
        <f t="array" ref="F325">VALUE(INDEX(_xlfn.TEXTSPLIT(Table1[[#This Row],[Item]], "-"), 5))</f>
        <v>0</v>
      </c>
      <c r="G325" s="1" cm="1">
        <f t="array" ref="G325">VALUE(INDEX(_xlfn.TEXTSPLIT(Table1[[#This Row],[Item]], "-"), 6))</f>
        <v>1</v>
      </c>
      <c r="H325" s="1" cm="1">
        <f t="array" ref="H325">VALUE(INDEX(_xlfn.TEXTSPLIT(Table1[[#This Row],[Item]], "-"), 7))</f>
        <v>0</v>
      </c>
      <c r="I32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25" s="1" t="str">
        <f>LEFT(RIGHT(Table1[[#This Row],[Item]],6),1)</f>
        <v>N</v>
      </c>
      <c r="K325" s="1" t="str">
        <f t="shared" si="5"/>
        <v>N</v>
      </c>
      <c r="L325" s="1" t="str">
        <f>RIGHT(Table1[[#This Row],[Item]],2)</f>
        <v>CA</v>
      </c>
      <c r="M325" s="1" t="s">
        <v>33</v>
      </c>
      <c r="N325" t="s">
        <v>344</v>
      </c>
      <c r="O325" s="1"/>
    </row>
    <row r="326" spans="1:15">
      <c r="A326" t="s">
        <v>345</v>
      </c>
      <c r="B326" s="1" t="str">
        <f>LEFT(Table1[[#This Row],[Item]], FIND("-", Table1[[#This Row],[Item]]) - 1)</f>
        <v>GX12</v>
      </c>
      <c r="C326" s="1" t="str">
        <f>MID(LEFT(Table1[[#This Row],[Item]], FIND("{token}", SUBSTITUTE(Table1[[#This Row],[Item]], "-", "{token}", 2)) - 1), FIND("-", Table1[[#This Row],[Item]]) + 1, LEN(Table1[[#This Row],[Item]]))</f>
        <v>CXL</v>
      </c>
      <c r="D326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32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326" s="1" cm="1">
        <f t="array" ref="F326">VALUE(INDEX(_xlfn.TEXTSPLIT(Table1[[#This Row],[Item]], "-"), 5))</f>
        <v>2</v>
      </c>
      <c r="G326" s="1" cm="1">
        <f t="array" ref="G326">VALUE(INDEX(_xlfn.TEXTSPLIT(Table1[[#This Row],[Item]], "-"), 6))</f>
        <v>2</v>
      </c>
      <c r="H326" s="1" cm="1">
        <f t="array" ref="H326">VALUE(INDEX(_xlfn.TEXTSPLIT(Table1[[#This Row],[Item]], "-"), 7))</f>
        <v>1</v>
      </c>
      <c r="I32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26" s="1" t="str">
        <f>LEFT(RIGHT(Table1[[#This Row],[Item]],6),1)</f>
        <v>N</v>
      </c>
      <c r="K326" s="1" t="str">
        <f t="shared" si="5"/>
        <v>N</v>
      </c>
      <c r="L326" s="1" t="str">
        <f>RIGHT(Table1[[#This Row],[Item]],2)</f>
        <v>CA</v>
      </c>
      <c r="M326" s="1" t="s">
        <v>33</v>
      </c>
      <c r="N326" t="s">
        <v>345</v>
      </c>
      <c r="O326" s="1"/>
    </row>
    <row r="327" spans="1:15">
      <c r="A327" t="s">
        <v>346</v>
      </c>
      <c r="B327" s="1" t="str">
        <f>LEFT(Table1[[#This Row],[Item]], FIND("-", Table1[[#This Row],[Item]]) - 1)</f>
        <v>GX09</v>
      </c>
      <c r="C327" s="1" t="str">
        <f>MID(LEFT(Table1[[#This Row],[Item]], FIND("{token}", SUBSTITUTE(Table1[[#This Row],[Item]], "-", "{token}", 2)) - 1), FIND("-", Table1[[#This Row],[Item]]) + 1, LEN(Table1[[#This Row],[Item]]))</f>
        <v>D</v>
      </c>
      <c r="D32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2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27" s="1" cm="1">
        <f t="array" ref="F327">VALUE(INDEX(_xlfn.TEXTSPLIT(Table1[[#This Row],[Item]], "-"), 5))</f>
        <v>0</v>
      </c>
      <c r="G327" s="1" cm="1">
        <f t="array" ref="G327">VALUE(INDEX(_xlfn.TEXTSPLIT(Table1[[#This Row],[Item]], "-"), 6))</f>
        <v>1</v>
      </c>
      <c r="H327" s="1" cm="1">
        <f t="array" ref="H327">VALUE(INDEX(_xlfn.TEXTSPLIT(Table1[[#This Row],[Item]], "-"), 7))</f>
        <v>1</v>
      </c>
      <c r="I32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27" s="1" t="str">
        <f>LEFT(RIGHT(Table1[[#This Row],[Item]],6),1)</f>
        <v>N</v>
      </c>
      <c r="K327" s="1" t="str">
        <f t="shared" si="5"/>
        <v>N</v>
      </c>
      <c r="L327" s="1" t="str">
        <f>RIGHT(Table1[[#This Row],[Item]],2)</f>
        <v>CA</v>
      </c>
      <c r="M327" s="1" t="s">
        <v>33</v>
      </c>
      <c r="N327" t="s">
        <v>346</v>
      </c>
      <c r="O327" s="1"/>
    </row>
    <row r="328" spans="1:15">
      <c r="A328" t="s">
        <v>347</v>
      </c>
      <c r="B328" s="1" t="str">
        <f>LEFT(Table1[[#This Row],[Item]], FIND("-", Table1[[#This Row],[Item]]) - 1)</f>
        <v>GX09</v>
      </c>
      <c r="C328" s="1" t="str">
        <f>MID(LEFT(Table1[[#This Row],[Item]], FIND("{token}", SUBSTITUTE(Table1[[#This Row],[Item]], "-", "{token}", 2)) - 1), FIND("-", Table1[[#This Row],[Item]]) + 1, LEN(Table1[[#This Row],[Item]]))</f>
        <v>L</v>
      </c>
      <c r="D328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32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28" s="1" cm="1">
        <f t="array" ref="F328">VALUE(INDEX(_xlfn.TEXTSPLIT(Table1[[#This Row],[Item]], "-"), 5))</f>
        <v>1</v>
      </c>
      <c r="G328" s="1" cm="1">
        <f t="array" ref="G328">VALUE(INDEX(_xlfn.TEXTSPLIT(Table1[[#This Row],[Item]], "-"), 6))</f>
        <v>2</v>
      </c>
      <c r="H328" s="1" cm="1">
        <f t="array" ref="H328">VALUE(INDEX(_xlfn.TEXTSPLIT(Table1[[#This Row],[Item]], "-"), 7))</f>
        <v>0</v>
      </c>
      <c r="I32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28" s="1" t="str">
        <f>LEFT(RIGHT(Table1[[#This Row],[Item]],6),1)</f>
        <v>N</v>
      </c>
      <c r="K328" s="1" t="str">
        <f t="shared" si="5"/>
        <v>N</v>
      </c>
      <c r="L328" s="1" t="str">
        <f>RIGHT(Table1[[#This Row],[Item]],2)</f>
        <v>CA</v>
      </c>
      <c r="M328" s="1" t="s">
        <v>33</v>
      </c>
      <c r="N328" t="s">
        <v>347</v>
      </c>
      <c r="O328" s="1"/>
    </row>
    <row r="329" spans="1:15">
      <c r="A329" t="s">
        <v>348</v>
      </c>
      <c r="B329" s="1" t="str">
        <f>LEFT(Table1[[#This Row],[Item]], FIND("-", Table1[[#This Row],[Item]]) - 1)</f>
        <v>GX12</v>
      </c>
      <c r="C329" s="1" t="str">
        <f>MID(LEFT(Table1[[#This Row],[Item]], FIND("{token}", SUBSTITUTE(Table1[[#This Row],[Item]], "-", "{token}", 2)) - 1), FIND("-", Table1[[#This Row],[Item]]) + 1, LEN(Table1[[#This Row],[Item]]))</f>
        <v>D</v>
      </c>
      <c r="D329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32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29" s="1" cm="1">
        <f t="array" ref="F329">VALUE(INDEX(_xlfn.TEXTSPLIT(Table1[[#This Row],[Item]], "-"), 5))</f>
        <v>1</v>
      </c>
      <c r="G329" s="1" cm="1">
        <f t="array" ref="G329">VALUE(INDEX(_xlfn.TEXTSPLIT(Table1[[#This Row],[Item]], "-"), 6))</f>
        <v>1</v>
      </c>
      <c r="H329" s="1" cm="1">
        <f t="array" ref="H329">VALUE(INDEX(_xlfn.TEXTSPLIT(Table1[[#This Row],[Item]], "-"), 7))</f>
        <v>1</v>
      </c>
      <c r="I32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29" s="1" t="str">
        <f>LEFT(RIGHT(Table1[[#This Row],[Item]],6),1)</f>
        <v>N</v>
      </c>
      <c r="K329" s="1" t="str">
        <f t="shared" si="5"/>
        <v>N</v>
      </c>
      <c r="L329" s="1" t="str">
        <f>RIGHT(Table1[[#This Row],[Item]],2)</f>
        <v>CA</v>
      </c>
      <c r="M329" s="1" t="s">
        <v>33</v>
      </c>
      <c r="N329" t="s">
        <v>348</v>
      </c>
      <c r="O329" s="1"/>
    </row>
    <row r="330" spans="1:15">
      <c r="A330" t="s">
        <v>349</v>
      </c>
      <c r="B330" s="1" t="str">
        <f>LEFT(Table1[[#This Row],[Item]], FIND("-", Table1[[#This Row],[Item]]) - 1)</f>
        <v>GX14</v>
      </c>
      <c r="C330" s="1" t="str">
        <f>MID(LEFT(Table1[[#This Row],[Item]], FIND("{token}", SUBSTITUTE(Table1[[#This Row],[Item]], "-", "{token}", 2)) - 1), FIND("-", Table1[[#This Row],[Item]]) + 1, LEN(Table1[[#This Row],[Item]]))</f>
        <v>D</v>
      </c>
      <c r="D330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33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30" s="1" cm="1">
        <f t="array" ref="F330">VALUE(INDEX(_xlfn.TEXTSPLIT(Table1[[#This Row],[Item]], "-"), 5))</f>
        <v>2</v>
      </c>
      <c r="G330" s="1" cm="1">
        <f t="array" ref="G330">VALUE(INDEX(_xlfn.TEXTSPLIT(Table1[[#This Row],[Item]], "-"), 6))</f>
        <v>1</v>
      </c>
      <c r="H330" s="1" cm="1">
        <f t="array" ref="H330">VALUE(INDEX(_xlfn.TEXTSPLIT(Table1[[#This Row],[Item]], "-"), 7))</f>
        <v>1</v>
      </c>
      <c r="I33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30" s="1" t="str">
        <f>LEFT(RIGHT(Table1[[#This Row],[Item]],6),1)</f>
        <v>N</v>
      </c>
      <c r="K330" s="1" t="str">
        <f t="shared" si="5"/>
        <v>N</v>
      </c>
      <c r="L330" s="1" t="str">
        <f>RIGHT(Table1[[#This Row],[Item]],2)</f>
        <v>CA</v>
      </c>
      <c r="M330" s="1" t="s">
        <v>33</v>
      </c>
      <c r="N330" t="s">
        <v>349</v>
      </c>
      <c r="O330" s="1"/>
    </row>
    <row r="331" spans="1:15">
      <c r="A331" t="s">
        <v>350</v>
      </c>
      <c r="B331" s="1" t="str">
        <f>LEFT(Table1[[#This Row],[Item]], FIND("-", Table1[[#This Row],[Item]]) - 1)</f>
        <v>MA12</v>
      </c>
      <c r="C331" s="1" t="str">
        <f>MID(LEFT(Table1[[#This Row],[Item]], FIND("{token}", SUBSTITUTE(Table1[[#This Row],[Item]], "-", "{token}", 2)) - 1), FIND("-", Table1[[#This Row],[Item]]) + 1, LEN(Table1[[#This Row],[Item]]))</f>
        <v>CXL</v>
      </c>
      <c r="D33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3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31" s="1" cm="1">
        <f t="array" ref="F331">VALUE(INDEX(_xlfn.TEXTSPLIT(Table1[[#This Row],[Item]], "-"), 5))</f>
        <v>2</v>
      </c>
      <c r="G331" s="1" cm="1">
        <f t="array" ref="G331">VALUE(INDEX(_xlfn.TEXTSPLIT(Table1[[#This Row],[Item]], "-"), 6))</f>
        <v>1</v>
      </c>
      <c r="H331" s="1" cm="1">
        <f t="array" ref="H331">VALUE(INDEX(_xlfn.TEXTSPLIT(Table1[[#This Row],[Item]], "-"), 7))</f>
        <v>0</v>
      </c>
      <c r="I331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331" s="1" t="str">
        <f>LEFT(RIGHT(Table1[[#This Row],[Item]],6),1)</f>
        <v>Y</v>
      </c>
      <c r="K331" s="1" t="str">
        <f t="shared" si="5"/>
        <v>Y</v>
      </c>
      <c r="L331" s="1" t="str">
        <f>RIGHT(Table1[[#This Row],[Item]],2)</f>
        <v>CA</v>
      </c>
      <c r="M331" s="1" t="s">
        <v>33</v>
      </c>
      <c r="N331" t="s">
        <v>350</v>
      </c>
      <c r="O331" s="1"/>
    </row>
    <row r="332" spans="1:15">
      <c r="A332" t="s">
        <v>351</v>
      </c>
      <c r="B332" s="1" t="str">
        <f>LEFT(Table1[[#This Row],[Item]], FIND("-", Table1[[#This Row],[Item]]) - 1)</f>
        <v>GX12</v>
      </c>
      <c r="C332" s="1" t="str">
        <f>MID(LEFT(Table1[[#This Row],[Item]], FIND("{token}", SUBSTITUTE(Table1[[#This Row],[Item]], "-", "{token}", 2)) - 1), FIND("-", Table1[[#This Row],[Item]]) + 1, LEN(Table1[[#This Row],[Item]]))</f>
        <v>LXL</v>
      </c>
      <c r="D332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33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332" s="1" cm="1">
        <f t="array" ref="F332">VALUE(INDEX(_xlfn.TEXTSPLIT(Table1[[#This Row],[Item]], "-"), 5))</f>
        <v>1</v>
      </c>
      <c r="G332" s="1" cm="1">
        <f t="array" ref="G332">VALUE(INDEX(_xlfn.TEXTSPLIT(Table1[[#This Row],[Item]], "-"), 6))</f>
        <v>2</v>
      </c>
      <c r="H332" s="1" cm="1">
        <f t="array" ref="H332">VALUE(INDEX(_xlfn.TEXTSPLIT(Table1[[#This Row],[Item]], "-"), 7))</f>
        <v>1</v>
      </c>
      <c r="I33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32" s="1" t="str">
        <f>LEFT(RIGHT(Table1[[#This Row],[Item]],6),1)</f>
        <v>N</v>
      </c>
      <c r="K332" s="1" t="str">
        <f t="shared" si="5"/>
        <v>N</v>
      </c>
      <c r="L332" s="1" t="str">
        <f>RIGHT(Table1[[#This Row],[Item]],2)</f>
        <v>CA</v>
      </c>
      <c r="M332" s="1" t="s">
        <v>33</v>
      </c>
      <c r="N332" t="s">
        <v>351</v>
      </c>
      <c r="O332" s="1"/>
    </row>
    <row r="333" spans="1:15">
      <c r="A333" t="s">
        <v>352</v>
      </c>
      <c r="B333" s="1" t="str">
        <f>LEFT(Table1[[#This Row],[Item]], FIND("-", Table1[[#This Row],[Item]]) - 1)</f>
        <v>GX09</v>
      </c>
      <c r="C333" s="1" t="str">
        <f>MID(LEFT(Table1[[#This Row],[Item]], FIND("{token}", SUBSTITUTE(Table1[[#This Row],[Item]], "-", "{token}", 2)) - 1), FIND("-", Table1[[#This Row],[Item]]) + 1, LEN(Table1[[#This Row],[Item]]))</f>
        <v>L</v>
      </c>
      <c r="D333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33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333" s="1" cm="1">
        <f t="array" ref="F333">VALUE(INDEX(_xlfn.TEXTSPLIT(Table1[[#This Row],[Item]], "-"), 5))</f>
        <v>1</v>
      </c>
      <c r="G333" s="1" cm="1">
        <f t="array" ref="G333">VALUE(INDEX(_xlfn.TEXTSPLIT(Table1[[#This Row],[Item]], "-"), 6))</f>
        <v>2</v>
      </c>
      <c r="H333" s="1" cm="1">
        <f t="array" ref="H333">VALUE(INDEX(_xlfn.TEXTSPLIT(Table1[[#This Row],[Item]], "-"), 7))</f>
        <v>0</v>
      </c>
      <c r="I33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33" s="1" t="str">
        <f>LEFT(RIGHT(Table1[[#This Row],[Item]],6),1)</f>
        <v>N</v>
      </c>
      <c r="K333" s="1" t="str">
        <f t="shared" si="5"/>
        <v>N</v>
      </c>
      <c r="L333" s="1" t="str">
        <f>RIGHT(Table1[[#This Row],[Item]],2)</f>
        <v>CA</v>
      </c>
      <c r="M333" s="1" t="s">
        <v>33</v>
      </c>
      <c r="N333" t="s">
        <v>352</v>
      </c>
      <c r="O333" s="1"/>
    </row>
    <row r="334" spans="1:15" ht="15" customHeight="1">
      <c r="A334" t="s">
        <v>353</v>
      </c>
      <c r="B334" s="1" t="str">
        <f>LEFT(Table1[[#This Row],[Item]], FIND("-", Table1[[#This Row],[Item]]) - 1)</f>
        <v>26FIREPIT</v>
      </c>
      <c r="C334" s="1" t="str">
        <f>MID(LEFT(Table1[[#This Row],[Item]], FIND("{token}", SUBSTITUTE(Table1[[#This Row],[Item]], "-", "{token}", 2)) - 1), FIND("-", Table1[[#This Row],[Item]]) + 1, LEN(Table1[[#This Row],[Item]]))</f>
        <v>N</v>
      </c>
      <c r="D33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3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34" s="1" cm="1">
        <f t="array" ref="F334">VALUE(INDEX(_xlfn.TEXTSPLIT(Table1[[#This Row],[Item]], "-"), 5))</f>
        <v>0</v>
      </c>
      <c r="G334" s="1" cm="1">
        <f t="array" ref="G334">VALUE(INDEX(_xlfn.TEXTSPLIT(Table1[[#This Row],[Item]], "-"), 6))</f>
        <v>0</v>
      </c>
      <c r="H334" s="1" cm="1">
        <f t="array" ref="H334">VALUE(INDEX(_xlfn.TEXTSPLIT(Table1[[#This Row],[Item]], "-"), 7))</f>
        <v>0</v>
      </c>
      <c r="I33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34" s="1" t="str">
        <f>LEFT(RIGHT(Table1[[#This Row],[Item]],6),1)</f>
        <v>N</v>
      </c>
      <c r="K334" s="1" t="str">
        <f t="shared" ref="K334:K397" si="6">MID(A334, LEN(A334)-3, 1)</f>
        <v>N</v>
      </c>
      <c r="L334" s="1" t="str">
        <f>RIGHT(Table1[[#This Row],[Item]],2)</f>
        <v>BR</v>
      </c>
      <c r="M334" s="1" t="s">
        <v>33</v>
      </c>
      <c r="N334" s="3" t="s">
        <v>353</v>
      </c>
      <c r="O334" s="1"/>
    </row>
    <row r="335" spans="1:15" ht="15" customHeight="1">
      <c r="A335" t="s">
        <v>354</v>
      </c>
      <c r="B335" s="1" t="str">
        <f>LEFT(Table1[[#This Row],[Item]], FIND("-", Table1[[#This Row],[Item]]) - 1)</f>
        <v>ARB6</v>
      </c>
      <c r="C335" s="1" t="str">
        <f>MID(LEFT(Table1[[#This Row],[Item]], FIND("{token}", SUBSTITUTE(Table1[[#This Row],[Item]], "-", "{token}", 2)) - 1), FIND("-", Table1[[#This Row],[Item]]) + 1, LEN(Table1[[#This Row],[Item]]))</f>
        <v>L</v>
      </c>
      <c r="D33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3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35" s="1" cm="1">
        <f t="array" ref="F335">VALUE(INDEX(_xlfn.TEXTSPLIT(Table1[[#This Row],[Item]], "-"), 5))</f>
        <v>1</v>
      </c>
      <c r="G335" s="1" cm="1">
        <f t="array" ref="G335">VALUE(INDEX(_xlfn.TEXTSPLIT(Table1[[#This Row],[Item]], "-"), 6))</f>
        <v>0</v>
      </c>
      <c r="H335" s="1" cm="1">
        <f t="array" ref="H335">VALUE(INDEX(_xlfn.TEXTSPLIT(Table1[[#This Row],[Item]], "-"), 7))</f>
        <v>0</v>
      </c>
      <c r="I33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35" s="1" t="str">
        <f>LEFT(RIGHT(Table1[[#This Row],[Item]],6),1)</f>
        <v>Y</v>
      </c>
      <c r="K335" s="1" t="str">
        <f t="shared" si="6"/>
        <v>N</v>
      </c>
      <c r="L335" s="1" t="str">
        <f>RIGHT(Table1[[#This Row],[Item]],2)</f>
        <v>BR</v>
      </c>
      <c r="M335" s="1" t="s">
        <v>33</v>
      </c>
      <c r="N335" s="3" t="s">
        <v>354</v>
      </c>
      <c r="O335" s="1"/>
    </row>
    <row r="336" spans="1:15" ht="15" customHeight="1">
      <c r="A336" t="s">
        <v>355</v>
      </c>
      <c r="B336" s="1" t="str">
        <f>LEFT(Table1[[#This Row],[Item]], FIND("-", Table1[[#This Row],[Item]]) - 1)</f>
        <v>ARB6</v>
      </c>
      <c r="C336" s="1" t="str">
        <f>MID(LEFT(Table1[[#This Row],[Item]], FIND("{token}", SUBSTITUTE(Table1[[#This Row],[Item]], "-", "{token}", 2)) - 1), FIND("-", Table1[[#This Row],[Item]]) + 1, LEN(Table1[[#This Row],[Item]]))</f>
        <v>L</v>
      </c>
      <c r="D33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3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36" s="1" cm="1">
        <f t="array" ref="F336">VALUE(INDEX(_xlfn.TEXTSPLIT(Table1[[#This Row],[Item]], "-"), 5))</f>
        <v>1</v>
      </c>
      <c r="G336" s="1" cm="1">
        <f t="array" ref="G336">VALUE(INDEX(_xlfn.TEXTSPLIT(Table1[[#This Row],[Item]], "-"), 6))</f>
        <v>0</v>
      </c>
      <c r="H336" s="1" cm="1">
        <f t="array" ref="H336">VALUE(INDEX(_xlfn.TEXTSPLIT(Table1[[#This Row],[Item]], "-"), 7))</f>
        <v>0</v>
      </c>
      <c r="I33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36" s="1" t="str">
        <f>LEFT(RIGHT(Table1[[#This Row],[Item]],6),1)</f>
        <v>Y</v>
      </c>
      <c r="K336" s="1" t="str">
        <f t="shared" si="6"/>
        <v>Y</v>
      </c>
      <c r="L336" s="1" t="str">
        <f>RIGHT(Table1[[#This Row],[Item]],2)</f>
        <v>BR</v>
      </c>
      <c r="M336" s="1" t="s">
        <v>33</v>
      </c>
      <c r="N336" s="3" t="s">
        <v>354</v>
      </c>
      <c r="O336" s="1"/>
    </row>
    <row r="337" spans="1:15" ht="15" customHeight="1">
      <c r="A337" t="s">
        <v>356</v>
      </c>
      <c r="B337" s="1" t="str">
        <f>LEFT(Table1[[#This Row],[Item]], FIND("-", Table1[[#This Row],[Item]]) - 1)</f>
        <v>ARB6</v>
      </c>
      <c r="C337" s="1" t="str">
        <f>MID(LEFT(Table1[[#This Row],[Item]], FIND("{token}", SUBSTITUTE(Table1[[#This Row],[Item]], "-", "{token}", 2)) - 1), FIND("-", Table1[[#This Row],[Item]]) + 1, LEN(Table1[[#This Row],[Item]]))</f>
        <v>L</v>
      </c>
      <c r="D33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3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37" s="1" cm="1">
        <f t="array" ref="F337">VALUE(INDEX(_xlfn.TEXTSPLIT(Table1[[#This Row],[Item]], "-"), 5))</f>
        <v>1</v>
      </c>
      <c r="G337" s="1" cm="1">
        <f t="array" ref="G337">VALUE(INDEX(_xlfn.TEXTSPLIT(Table1[[#This Row],[Item]], "-"), 6))</f>
        <v>0</v>
      </c>
      <c r="H337" s="1" cm="1">
        <f t="array" ref="H337">VALUE(INDEX(_xlfn.TEXTSPLIT(Table1[[#This Row],[Item]], "-"), 7))</f>
        <v>0</v>
      </c>
      <c r="I337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337" s="1" t="str">
        <f>LEFT(RIGHT(Table1[[#This Row],[Item]],6),1)</f>
        <v>Y</v>
      </c>
      <c r="K337" s="1" t="str">
        <f t="shared" si="6"/>
        <v>N</v>
      </c>
      <c r="L337" s="1" t="str">
        <f>RIGHT(Table1[[#This Row],[Item]],2)</f>
        <v>BR</v>
      </c>
      <c r="M337" s="1" t="s">
        <v>33</v>
      </c>
      <c r="N337" s="3" t="s">
        <v>354</v>
      </c>
      <c r="O337" s="1"/>
    </row>
    <row r="338" spans="1:15" ht="15" customHeight="1">
      <c r="A338" t="s">
        <v>357</v>
      </c>
      <c r="B338" s="1" t="str">
        <f>LEFT(Table1[[#This Row],[Item]], FIND("-", Table1[[#This Row],[Item]]) - 1)</f>
        <v>ARB6</v>
      </c>
      <c r="C338" s="1" t="str">
        <f>MID(LEFT(Table1[[#This Row],[Item]], FIND("{token}", SUBSTITUTE(Table1[[#This Row],[Item]], "-", "{token}", 2)) - 1), FIND("-", Table1[[#This Row],[Item]]) + 1, LEN(Table1[[#This Row],[Item]]))</f>
        <v>L</v>
      </c>
      <c r="D33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3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38" s="1" cm="1">
        <f t="array" ref="F338">VALUE(INDEX(_xlfn.TEXTSPLIT(Table1[[#This Row],[Item]], "-"), 5))</f>
        <v>1</v>
      </c>
      <c r="G338" s="1" cm="1">
        <f t="array" ref="G338">VALUE(INDEX(_xlfn.TEXTSPLIT(Table1[[#This Row],[Item]], "-"), 6))</f>
        <v>0</v>
      </c>
      <c r="H338" s="1" cm="1">
        <f t="array" ref="H338">VALUE(INDEX(_xlfn.TEXTSPLIT(Table1[[#This Row],[Item]], "-"), 7))</f>
        <v>0</v>
      </c>
      <c r="I338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338" s="1" t="str">
        <f>LEFT(RIGHT(Table1[[#This Row],[Item]],6),1)</f>
        <v>Y</v>
      </c>
      <c r="K338" s="1" t="str">
        <f t="shared" si="6"/>
        <v>Y</v>
      </c>
      <c r="L338" s="1" t="str">
        <f>RIGHT(Table1[[#This Row],[Item]],2)</f>
        <v>BR</v>
      </c>
      <c r="M338" s="1" t="s">
        <v>33</v>
      </c>
      <c r="N338" s="3" t="s">
        <v>357</v>
      </c>
      <c r="O338" s="1"/>
    </row>
    <row r="339" spans="1:15" ht="15" customHeight="1">
      <c r="A339" t="s">
        <v>358</v>
      </c>
      <c r="B339" s="1" t="str">
        <f>LEFT(Table1[[#This Row],[Item]], FIND("-", Table1[[#This Row],[Item]]) - 1)</f>
        <v>ARB6</v>
      </c>
      <c r="C339" s="1" t="str">
        <f>MID(LEFT(Table1[[#This Row],[Item]], FIND("{token}", SUBSTITUTE(Table1[[#This Row],[Item]], "-", "{token}", 2)) - 1), FIND("-", Table1[[#This Row],[Item]]) + 1, LEN(Table1[[#This Row],[Item]]))</f>
        <v>L</v>
      </c>
      <c r="D33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3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39" s="1" cm="1">
        <f t="array" ref="F339">VALUE(INDEX(_xlfn.TEXTSPLIT(Table1[[#This Row],[Item]], "-"), 5))</f>
        <v>1</v>
      </c>
      <c r="G339" s="1" cm="1">
        <f t="array" ref="G339">VALUE(INDEX(_xlfn.TEXTSPLIT(Table1[[#This Row],[Item]], "-"), 6))</f>
        <v>1</v>
      </c>
      <c r="H339" s="1" cm="1">
        <f t="array" ref="H339">VALUE(INDEX(_xlfn.TEXTSPLIT(Table1[[#This Row],[Item]], "-"), 7))</f>
        <v>0</v>
      </c>
      <c r="I33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39" s="1" t="str">
        <f>LEFT(RIGHT(Table1[[#This Row],[Item]],6),1)</f>
        <v>Y</v>
      </c>
      <c r="K339" s="1" t="str">
        <f t="shared" si="6"/>
        <v>Y</v>
      </c>
      <c r="L339" s="1" t="str">
        <f>RIGHT(Table1[[#This Row],[Item]],2)</f>
        <v>BR</v>
      </c>
      <c r="M339" s="1" t="s">
        <v>33</v>
      </c>
      <c r="N339" s="3" t="s">
        <v>354</v>
      </c>
      <c r="O339" s="1"/>
    </row>
    <row r="340" spans="1:15" ht="15" customHeight="1">
      <c r="A340" t="s">
        <v>359</v>
      </c>
      <c r="B340" s="1" t="str">
        <f>LEFT(Table1[[#This Row],[Item]], FIND("-", Table1[[#This Row],[Item]]) - 1)</f>
        <v>ARB8</v>
      </c>
      <c r="C340" s="1" t="str">
        <f>MID(LEFT(Table1[[#This Row],[Item]], FIND("{token}", SUBSTITUTE(Table1[[#This Row],[Item]], "-", "{token}", 2)) - 1), FIND("-", Table1[[#This Row],[Item]]) + 1, LEN(Table1[[#This Row],[Item]]))</f>
        <v>L</v>
      </c>
      <c r="D340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34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40" s="1" cm="1">
        <f t="array" ref="F340">VALUE(INDEX(_xlfn.TEXTSPLIT(Table1[[#This Row],[Item]], "-"), 5))</f>
        <v>1</v>
      </c>
      <c r="G340" s="1" cm="1">
        <f t="array" ref="G340">VALUE(INDEX(_xlfn.TEXTSPLIT(Table1[[#This Row],[Item]], "-"), 6))</f>
        <v>0</v>
      </c>
      <c r="H340" s="1" cm="1">
        <f t="array" ref="H340">VALUE(INDEX(_xlfn.TEXTSPLIT(Table1[[#This Row],[Item]], "-"), 7))</f>
        <v>0</v>
      </c>
      <c r="I340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340" s="1" t="str">
        <f>LEFT(RIGHT(Table1[[#This Row],[Item]],6),1)</f>
        <v>Y</v>
      </c>
      <c r="K340" s="1" t="str">
        <f t="shared" si="6"/>
        <v>N</v>
      </c>
      <c r="L340" s="1" t="str">
        <f>RIGHT(Table1[[#This Row],[Item]],2)</f>
        <v>BR</v>
      </c>
      <c r="M340" s="1" t="s">
        <v>33</v>
      </c>
      <c r="N340" s="3" t="s">
        <v>360</v>
      </c>
      <c r="O340" s="1"/>
    </row>
    <row r="341" spans="1:15" ht="15" customHeight="1">
      <c r="A341" t="s">
        <v>361</v>
      </c>
      <c r="B341" s="1" t="str">
        <f>LEFT(Table1[[#This Row],[Item]], FIND("-", Table1[[#This Row],[Item]]) - 1)</f>
        <v>ARB8</v>
      </c>
      <c r="C341" s="1" t="str">
        <f>MID(LEFT(Table1[[#This Row],[Item]], FIND("{token}", SUBSTITUTE(Table1[[#This Row],[Item]], "-", "{token}", 2)) - 1), FIND("-", Table1[[#This Row],[Item]]) + 1, LEN(Table1[[#This Row],[Item]]))</f>
        <v>L</v>
      </c>
      <c r="D341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34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41" s="1" cm="1">
        <f t="array" ref="F341">VALUE(INDEX(_xlfn.TEXTSPLIT(Table1[[#This Row],[Item]], "-"), 5))</f>
        <v>1</v>
      </c>
      <c r="G341" s="1" cm="1">
        <f t="array" ref="G341">VALUE(INDEX(_xlfn.TEXTSPLIT(Table1[[#This Row],[Item]], "-"), 6))</f>
        <v>0</v>
      </c>
      <c r="H341" s="1" cm="1">
        <f t="array" ref="H341">VALUE(INDEX(_xlfn.TEXTSPLIT(Table1[[#This Row],[Item]], "-"), 7))</f>
        <v>0</v>
      </c>
      <c r="I341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341" s="1" t="str">
        <f>LEFT(RIGHT(Table1[[#This Row],[Item]],6),1)</f>
        <v>Y</v>
      </c>
      <c r="K341" s="1" t="str">
        <f t="shared" si="6"/>
        <v>Y</v>
      </c>
      <c r="L341" s="1" t="str">
        <f>RIGHT(Table1[[#This Row],[Item]],2)</f>
        <v>BR</v>
      </c>
      <c r="M341" s="1" t="s">
        <v>33</v>
      </c>
      <c r="N341" s="3" t="s">
        <v>362</v>
      </c>
      <c r="O341" s="1"/>
    </row>
    <row r="342" spans="1:15" ht="15" customHeight="1">
      <c r="A342" t="s">
        <v>363</v>
      </c>
      <c r="B342" s="1" t="str">
        <f>LEFT(Table1[[#This Row],[Item]], FIND("-", Table1[[#This Row],[Item]]) - 1)</f>
        <v>ARB8</v>
      </c>
      <c r="C342" s="1" t="str">
        <f>MID(LEFT(Table1[[#This Row],[Item]], FIND("{token}", SUBSTITUTE(Table1[[#This Row],[Item]], "-", "{token}", 2)) - 1), FIND("-", Table1[[#This Row],[Item]]) + 1, LEN(Table1[[#This Row],[Item]]))</f>
        <v>L</v>
      </c>
      <c r="D342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34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42" s="1" cm="1">
        <f t="array" ref="F342">VALUE(INDEX(_xlfn.TEXTSPLIT(Table1[[#This Row],[Item]], "-"), 5))</f>
        <v>1</v>
      </c>
      <c r="G342" s="1" cm="1">
        <f t="array" ref="G342">VALUE(INDEX(_xlfn.TEXTSPLIT(Table1[[#This Row],[Item]], "-"), 6))</f>
        <v>1</v>
      </c>
      <c r="H342" s="1" cm="1">
        <f t="array" ref="H342">VALUE(INDEX(_xlfn.TEXTSPLIT(Table1[[#This Row],[Item]], "-"), 7))</f>
        <v>0</v>
      </c>
      <c r="I342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342" s="1" t="str">
        <f>LEFT(RIGHT(Table1[[#This Row],[Item]],6),1)</f>
        <v>Y</v>
      </c>
      <c r="K342" s="1" t="str">
        <f t="shared" si="6"/>
        <v>N</v>
      </c>
      <c r="L342" s="1" t="str">
        <f>RIGHT(Table1[[#This Row],[Item]],2)</f>
        <v>BR</v>
      </c>
      <c r="M342" s="1" t="s">
        <v>33</v>
      </c>
      <c r="N342" s="3" t="s">
        <v>360</v>
      </c>
      <c r="O342" s="1"/>
    </row>
    <row r="343" spans="1:15" ht="15" customHeight="1">
      <c r="A343" t="s">
        <v>364</v>
      </c>
      <c r="B343" s="1" t="str">
        <f>LEFT(Table1[[#This Row],[Item]], FIND("-", Table1[[#This Row],[Item]]) - 1)</f>
        <v>ARB8</v>
      </c>
      <c r="C343" s="1" t="str">
        <f>MID(LEFT(Table1[[#This Row],[Item]], FIND("{token}", SUBSTITUTE(Table1[[#This Row],[Item]], "-", "{token}", 2)) - 1), FIND("-", Table1[[#This Row],[Item]]) + 1, LEN(Table1[[#This Row],[Item]]))</f>
        <v>L</v>
      </c>
      <c r="D343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34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43" s="1" cm="1">
        <f t="array" ref="F343">VALUE(INDEX(_xlfn.TEXTSPLIT(Table1[[#This Row],[Item]], "-"), 5))</f>
        <v>1</v>
      </c>
      <c r="G343" s="1" cm="1">
        <f t="array" ref="G343">VALUE(INDEX(_xlfn.TEXTSPLIT(Table1[[#This Row],[Item]], "-"), 6))</f>
        <v>1</v>
      </c>
      <c r="H343" s="1" cm="1">
        <f t="array" ref="H343">VALUE(INDEX(_xlfn.TEXTSPLIT(Table1[[#This Row],[Item]], "-"), 7))</f>
        <v>0</v>
      </c>
      <c r="I343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343" s="1" t="str">
        <f>LEFT(RIGHT(Table1[[#This Row],[Item]],6),1)</f>
        <v>Y</v>
      </c>
      <c r="K343" s="1" t="str">
        <f t="shared" si="6"/>
        <v>Y</v>
      </c>
      <c r="L343" s="1" t="str">
        <f>RIGHT(Table1[[#This Row],[Item]],2)</f>
        <v>BR</v>
      </c>
      <c r="M343" s="1" t="s">
        <v>33</v>
      </c>
      <c r="N343" s="3" t="s">
        <v>362</v>
      </c>
      <c r="O343" s="1"/>
    </row>
    <row r="344" spans="1:15" ht="15" customHeight="1">
      <c r="A344" t="s">
        <v>365</v>
      </c>
      <c r="B344" s="1" t="str">
        <f>LEFT(Table1[[#This Row],[Item]], FIND("-", Table1[[#This Row],[Item]]) - 1)</f>
        <v>ARB8</v>
      </c>
      <c r="C344" s="1" t="str">
        <f>MID(LEFT(Table1[[#This Row],[Item]], FIND("{token}", SUBSTITUTE(Table1[[#This Row],[Item]], "-", "{token}", 2)) - 1), FIND("-", Table1[[#This Row],[Item]]) + 1, LEN(Table1[[#This Row],[Item]]))</f>
        <v>L</v>
      </c>
      <c r="D34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4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44" s="1" cm="1">
        <f t="array" ref="F344">VALUE(INDEX(_xlfn.TEXTSPLIT(Table1[[#This Row],[Item]], "-"), 5))</f>
        <v>1</v>
      </c>
      <c r="G344" s="1" cm="1">
        <f t="array" ref="G344">VALUE(INDEX(_xlfn.TEXTSPLIT(Table1[[#This Row],[Item]], "-"), 6))</f>
        <v>0</v>
      </c>
      <c r="H344" s="1" cm="1">
        <f t="array" ref="H344">VALUE(INDEX(_xlfn.TEXTSPLIT(Table1[[#This Row],[Item]], "-"), 7))</f>
        <v>0</v>
      </c>
      <c r="I344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344" s="1" t="str">
        <f>LEFT(RIGHT(Table1[[#This Row],[Item]],6),1)</f>
        <v>N</v>
      </c>
      <c r="K344" s="1" t="str">
        <f t="shared" si="6"/>
        <v>Y</v>
      </c>
      <c r="L344" s="1" t="str">
        <f>RIGHT(Table1[[#This Row],[Item]],2)</f>
        <v>BR</v>
      </c>
      <c r="M344" s="1" t="s">
        <v>33</v>
      </c>
      <c r="N344" s="3" t="s">
        <v>362</v>
      </c>
      <c r="O344" s="1"/>
    </row>
    <row r="345" spans="1:15" ht="15" customHeight="1">
      <c r="A345" t="s">
        <v>360</v>
      </c>
      <c r="B345" s="1" t="str">
        <f>LEFT(Table1[[#This Row],[Item]], FIND("-", Table1[[#This Row],[Item]]) - 1)</f>
        <v>ARB8</v>
      </c>
      <c r="C345" s="1" t="str">
        <f>MID(LEFT(Table1[[#This Row],[Item]], FIND("{token}", SUBSTITUTE(Table1[[#This Row],[Item]], "-", "{token}", 2)) - 1), FIND("-", Table1[[#This Row],[Item]]) + 1, LEN(Table1[[#This Row],[Item]]))</f>
        <v>L</v>
      </c>
      <c r="D34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4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45" s="1" cm="1">
        <f t="array" ref="F345">VALUE(INDEX(_xlfn.TEXTSPLIT(Table1[[#This Row],[Item]], "-"), 5))</f>
        <v>1</v>
      </c>
      <c r="G345" s="1" cm="1">
        <f t="array" ref="G345">VALUE(INDEX(_xlfn.TEXTSPLIT(Table1[[#This Row],[Item]], "-"), 6))</f>
        <v>0</v>
      </c>
      <c r="H345" s="1" cm="1">
        <f t="array" ref="H345">VALUE(INDEX(_xlfn.TEXTSPLIT(Table1[[#This Row],[Item]], "-"), 7))</f>
        <v>0</v>
      </c>
      <c r="I345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345" s="1" t="str">
        <f>LEFT(RIGHT(Table1[[#This Row],[Item]],6),1)</f>
        <v>Y</v>
      </c>
      <c r="K345" s="1" t="str">
        <f t="shared" si="6"/>
        <v>N</v>
      </c>
      <c r="L345" s="1" t="str">
        <f>RIGHT(Table1[[#This Row],[Item]],2)</f>
        <v>BR</v>
      </c>
      <c r="M345" s="1" t="s">
        <v>33</v>
      </c>
      <c r="N345" s="3" t="s">
        <v>360</v>
      </c>
      <c r="O345" s="1"/>
    </row>
    <row r="346" spans="1:15" ht="15" customHeight="1">
      <c r="A346" t="s">
        <v>362</v>
      </c>
      <c r="B346" s="1" t="str">
        <f>LEFT(Table1[[#This Row],[Item]], FIND("-", Table1[[#This Row],[Item]]) - 1)</f>
        <v>ARB8</v>
      </c>
      <c r="C346" s="1" t="str">
        <f>MID(LEFT(Table1[[#This Row],[Item]], FIND("{token}", SUBSTITUTE(Table1[[#This Row],[Item]], "-", "{token}", 2)) - 1), FIND("-", Table1[[#This Row],[Item]]) + 1, LEN(Table1[[#This Row],[Item]]))</f>
        <v>L</v>
      </c>
      <c r="D34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4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46" s="1" cm="1">
        <f t="array" ref="F346">VALUE(INDEX(_xlfn.TEXTSPLIT(Table1[[#This Row],[Item]], "-"), 5))</f>
        <v>1</v>
      </c>
      <c r="G346" s="1" cm="1">
        <f t="array" ref="G346">VALUE(INDEX(_xlfn.TEXTSPLIT(Table1[[#This Row],[Item]], "-"), 6))</f>
        <v>0</v>
      </c>
      <c r="H346" s="1" cm="1">
        <f t="array" ref="H346">VALUE(INDEX(_xlfn.TEXTSPLIT(Table1[[#This Row],[Item]], "-"), 7))</f>
        <v>0</v>
      </c>
      <c r="I346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346" s="1" t="str">
        <f>LEFT(RIGHT(Table1[[#This Row],[Item]],6),1)</f>
        <v>Y</v>
      </c>
      <c r="K346" s="1" t="str">
        <f t="shared" si="6"/>
        <v>Y</v>
      </c>
      <c r="L346" s="1" t="str">
        <f>RIGHT(Table1[[#This Row],[Item]],2)</f>
        <v>BR</v>
      </c>
      <c r="M346" s="1" t="s">
        <v>33</v>
      </c>
      <c r="N346" s="3" t="s">
        <v>362</v>
      </c>
      <c r="O346" s="1"/>
    </row>
    <row r="347" spans="1:15" ht="15" customHeight="1">
      <c r="A347" t="s">
        <v>366</v>
      </c>
      <c r="B347" s="1" t="str">
        <f>LEFT(Table1[[#This Row],[Item]], FIND("-", Table1[[#This Row],[Item]]) - 1)</f>
        <v>ARB8</v>
      </c>
      <c r="C347" s="1" t="str">
        <f>MID(LEFT(Table1[[#This Row],[Item]], FIND("{token}", SUBSTITUTE(Table1[[#This Row],[Item]], "-", "{token}", 2)) - 1), FIND("-", Table1[[#This Row],[Item]]) + 1, LEN(Table1[[#This Row],[Item]]))</f>
        <v>L</v>
      </c>
      <c r="D34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4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47" s="1" cm="1">
        <f t="array" ref="F347">VALUE(INDEX(_xlfn.TEXTSPLIT(Table1[[#This Row],[Item]], "-"), 5))</f>
        <v>1</v>
      </c>
      <c r="G347" s="1" cm="1">
        <f t="array" ref="G347">VALUE(INDEX(_xlfn.TEXTSPLIT(Table1[[#This Row],[Item]], "-"), 6))</f>
        <v>1</v>
      </c>
      <c r="H347" s="1" cm="1">
        <f t="array" ref="H347">VALUE(INDEX(_xlfn.TEXTSPLIT(Table1[[#This Row],[Item]], "-"), 7))</f>
        <v>0</v>
      </c>
      <c r="I347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347" s="1" t="str">
        <f>LEFT(RIGHT(Table1[[#This Row],[Item]],6),1)</f>
        <v>Y</v>
      </c>
      <c r="K347" s="1" t="str">
        <f t="shared" si="6"/>
        <v>N</v>
      </c>
      <c r="L347" s="1" t="str">
        <f>RIGHT(Table1[[#This Row],[Item]],2)</f>
        <v>BR</v>
      </c>
      <c r="M347" s="1" t="s">
        <v>33</v>
      </c>
      <c r="N347" s="3" t="s">
        <v>360</v>
      </c>
      <c r="O347" s="1"/>
    </row>
    <row r="348" spans="1:15" ht="15" customHeight="1">
      <c r="A348" t="s">
        <v>367</v>
      </c>
      <c r="B348" s="1" t="str">
        <f>LEFT(Table1[[#This Row],[Item]], FIND("-", Table1[[#This Row],[Item]]) - 1)</f>
        <v>ARB8</v>
      </c>
      <c r="C348" s="1" t="str">
        <f>MID(LEFT(Table1[[#This Row],[Item]], FIND("{token}", SUBSTITUTE(Table1[[#This Row],[Item]], "-", "{token}", 2)) - 1), FIND("-", Table1[[#This Row],[Item]]) + 1, LEN(Table1[[#This Row],[Item]]))</f>
        <v>L</v>
      </c>
      <c r="D34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4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48" s="1" cm="1">
        <f t="array" ref="F348">VALUE(INDEX(_xlfn.TEXTSPLIT(Table1[[#This Row],[Item]], "-"), 5))</f>
        <v>1</v>
      </c>
      <c r="G348" s="1" cm="1">
        <f t="array" ref="G348">VALUE(INDEX(_xlfn.TEXTSPLIT(Table1[[#This Row],[Item]], "-"), 6))</f>
        <v>1</v>
      </c>
      <c r="H348" s="1" cm="1">
        <f t="array" ref="H348">VALUE(INDEX(_xlfn.TEXTSPLIT(Table1[[#This Row],[Item]], "-"), 7))</f>
        <v>0</v>
      </c>
      <c r="I348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348" s="1" t="str">
        <f>LEFT(RIGHT(Table1[[#This Row],[Item]],6),1)</f>
        <v>Y</v>
      </c>
      <c r="K348" s="1" t="str">
        <f t="shared" si="6"/>
        <v>Y</v>
      </c>
      <c r="L348" s="1" t="str">
        <f>RIGHT(Table1[[#This Row],[Item]],2)</f>
        <v>BR</v>
      </c>
      <c r="M348" s="1" t="s">
        <v>33</v>
      </c>
      <c r="N348" s="3" t="s">
        <v>362</v>
      </c>
      <c r="O348" s="1"/>
    </row>
    <row r="349" spans="1:15" ht="15" customHeight="1">
      <c r="A349" t="s">
        <v>368</v>
      </c>
      <c r="B349" s="1" t="str">
        <f>LEFT(Table1[[#This Row],[Item]], FIND("-", Table1[[#This Row],[Item]]) - 1)</f>
        <v>ARB8</v>
      </c>
      <c r="C349" s="1" t="str">
        <f>MID(LEFT(Table1[[#This Row],[Item]], FIND("{token}", SUBSTITUTE(Table1[[#This Row],[Item]], "-", "{token}", 2)) - 1), FIND("-", Table1[[#This Row],[Item]]) + 1, LEN(Table1[[#This Row],[Item]]))</f>
        <v>LXL</v>
      </c>
      <c r="D34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4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49" s="1" cm="1">
        <f t="array" ref="F349">VALUE(INDEX(_xlfn.TEXTSPLIT(Table1[[#This Row],[Item]], "-"), 5))</f>
        <v>1</v>
      </c>
      <c r="G349" s="1" cm="1">
        <f t="array" ref="G349">VALUE(INDEX(_xlfn.TEXTSPLIT(Table1[[#This Row],[Item]], "-"), 6))</f>
        <v>1</v>
      </c>
      <c r="H349" s="1" cm="1">
        <f t="array" ref="H349">VALUE(INDEX(_xlfn.TEXTSPLIT(Table1[[#This Row],[Item]], "-"), 7))</f>
        <v>0</v>
      </c>
      <c r="I349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349" s="1" t="str">
        <f>LEFT(RIGHT(Table1[[#This Row],[Item]],6),1)</f>
        <v>Y</v>
      </c>
      <c r="K349" s="1" t="str">
        <f t="shared" si="6"/>
        <v>N</v>
      </c>
      <c r="L349" s="1" t="str">
        <f>RIGHT(Table1[[#This Row],[Item]],2)</f>
        <v>BR</v>
      </c>
      <c r="M349" s="1" t="s">
        <v>33</v>
      </c>
      <c r="N349" s="3" t="s">
        <v>368</v>
      </c>
      <c r="O349" s="1"/>
    </row>
    <row r="350" spans="1:15" ht="15" customHeight="1">
      <c r="A350" t="s">
        <v>369</v>
      </c>
      <c r="B350" s="1" t="str">
        <f>LEFT(Table1[[#This Row],[Item]], FIND("-", Table1[[#This Row],[Item]]) - 1)</f>
        <v>FIREPIT</v>
      </c>
      <c r="C350" s="1" t="str">
        <f>MID(LEFT(Table1[[#This Row],[Item]], FIND("{token}", SUBSTITUTE(Table1[[#This Row],[Item]], "-", "{token}", 2)) - 1), FIND("-", Table1[[#This Row],[Item]]) + 1, LEN(Table1[[#This Row],[Item]]))</f>
        <v>N</v>
      </c>
      <c r="D35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5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350" s="1" cm="1">
        <f t="array" ref="F350">VALUE(INDEX(_xlfn.TEXTSPLIT(Table1[[#This Row],[Item]], "-"), 5))</f>
        <v>0</v>
      </c>
      <c r="G350" s="1" cm="1">
        <f t="array" ref="G350">VALUE(INDEX(_xlfn.TEXTSPLIT(Table1[[#This Row],[Item]], "-"), 6))</f>
        <v>0</v>
      </c>
      <c r="H350" s="1" cm="1">
        <f t="array" ref="H350">VALUE(INDEX(_xlfn.TEXTSPLIT(Table1[[#This Row],[Item]], "-"), 7))</f>
        <v>0</v>
      </c>
      <c r="I35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50" s="1" t="str">
        <f>LEFT(RIGHT(Table1[[#This Row],[Item]],6),1)</f>
        <v>N</v>
      </c>
      <c r="K350" s="1" t="str">
        <f t="shared" si="6"/>
        <v>N</v>
      </c>
      <c r="L350" s="1" t="str">
        <f>RIGHT(Table1[[#This Row],[Item]],2)</f>
        <v>BR</v>
      </c>
      <c r="M350" s="1" t="s">
        <v>33</v>
      </c>
      <c r="N350" s="3" t="s">
        <v>369</v>
      </c>
      <c r="O350" s="1"/>
    </row>
    <row r="351" spans="1:15" ht="15" customHeight="1">
      <c r="A351" t="s">
        <v>370</v>
      </c>
      <c r="B351" s="1" t="str">
        <f>LEFT(Table1[[#This Row],[Item]], FIND("-", Table1[[#This Row],[Item]]) - 1)</f>
        <v>GX03</v>
      </c>
      <c r="C351" s="1" t="str">
        <f>MID(LEFT(Table1[[#This Row],[Item]], FIND("{token}", SUBSTITUTE(Table1[[#This Row],[Item]], "-", "{token}", 2)) - 1), FIND("-", Table1[[#This Row],[Item]]) + 1, LEN(Table1[[#This Row],[Item]]))</f>
        <v>C</v>
      </c>
      <c r="D35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5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51" s="1" cm="1">
        <f t="array" ref="F351">VALUE(INDEX(_xlfn.TEXTSPLIT(Table1[[#This Row],[Item]], "-"), 5))</f>
        <v>0</v>
      </c>
      <c r="G351" s="1" cm="1">
        <f t="array" ref="G351">VALUE(INDEX(_xlfn.TEXTSPLIT(Table1[[#This Row],[Item]], "-"), 6))</f>
        <v>0</v>
      </c>
      <c r="H351" s="1" cm="1">
        <f t="array" ref="H351">VALUE(INDEX(_xlfn.TEXTSPLIT(Table1[[#This Row],[Item]], "-"), 7))</f>
        <v>0</v>
      </c>
      <c r="I35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51" s="1" t="str">
        <f>LEFT(RIGHT(Table1[[#This Row],[Item]],6),1)</f>
        <v>N</v>
      </c>
      <c r="K351" s="1" t="str">
        <f t="shared" si="6"/>
        <v>N</v>
      </c>
      <c r="L351" s="1" t="str">
        <f>RIGHT(Table1[[#This Row],[Item]],2)</f>
        <v>BR</v>
      </c>
      <c r="M351" s="1" t="s">
        <v>33</v>
      </c>
      <c r="N351" s="3" t="s">
        <v>370</v>
      </c>
      <c r="O351" s="1"/>
    </row>
    <row r="352" spans="1:15" ht="15" customHeight="1">
      <c r="A352" t="s">
        <v>371</v>
      </c>
      <c r="B352" s="1" t="str">
        <f>LEFT(Table1[[#This Row],[Item]], FIND("-", Table1[[#This Row],[Item]]) - 1)</f>
        <v>GX04</v>
      </c>
      <c r="C352" s="1" t="str">
        <f>MID(LEFT(Table1[[#This Row],[Item]], FIND("{token}", SUBSTITUTE(Table1[[#This Row],[Item]], "-", "{token}", 2)) - 1), FIND("-", Table1[[#This Row],[Item]]) + 1, LEN(Table1[[#This Row],[Item]]))</f>
        <v>R</v>
      </c>
      <c r="D352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5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352" s="1" cm="1">
        <f t="array" ref="F352">VALUE(INDEX(_xlfn.TEXTSPLIT(Table1[[#This Row],[Item]], "-"), 5))</f>
        <v>0</v>
      </c>
      <c r="G352" s="1" cm="1">
        <f t="array" ref="G352">VALUE(INDEX(_xlfn.TEXTSPLIT(Table1[[#This Row],[Item]], "-"), 6))</f>
        <v>0</v>
      </c>
      <c r="H352" s="1" cm="1">
        <f t="array" ref="H352">VALUE(INDEX(_xlfn.TEXTSPLIT(Table1[[#This Row],[Item]], "-"), 7))</f>
        <v>1</v>
      </c>
      <c r="I35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52" s="1" t="str">
        <f>LEFT(RIGHT(Table1[[#This Row],[Item]],6),1)</f>
        <v>N</v>
      </c>
      <c r="K352" s="1" t="str">
        <f t="shared" si="6"/>
        <v>N</v>
      </c>
      <c r="L352" s="1" t="str">
        <f>RIGHT(Table1[[#This Row],[Item]],2)</f>
        <v>BR</v>
      </c>
      <c r="M352" s="1" t="s">
        <v>33</v>
      </c>
      <c r="N352" s="3" t="s">
        <v>371</v>
      </c>
      <c r="O352" s="1"/>
    </row>
    <row r="353" spans="1:15" ht="15" customHeight="1">
      <c r="A353" t="s">
        <v>372</v>
      </c>
      <c r="B353" s="1" t="str">
        <f>LEFT(Table1[[#This Row],[Item]], FIND("-", Table1[[#This Row],[Item]]) - 1)</f>
        <v>GX04</v>
      </c>
      <c r="C353" s="1" t="str">
        <f>MID(LEFT(Table1[[#This Row],[Item]], FIND("{token}", SUBSTITUTE(Table1[[#This Row],[Item]], "-", "{token}", 2)) - 1), FIND("-", Table1[[#This Row],[Item]]) + 1, LEN(Table1[[#This Row],[Item]]))</f>
        <v>R</v>
      </c>
      <c r="D35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5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53" s="1" cm="1">
        <f t="array" ref="F353">VALUE(INDEX(_xlfn.TEXTSPLIT(Table1[[#This Row],[Item]], "-"), 5))</f>
        <v>0</v>
      </c>
      <c r="G353" s="1" cm="1">
        <f t="array" ref="G353">VALUE(INDEX(_xlfn.TEXTSPLIT(Table1[[#This Row],[Item]], "-"), 6))</f>
        <v>0</v>
      </c>
      <c r="H353" s="1" cm="1">
        <f t="array" ref="H353">VALUE(INDEX(_xlfn.TEXTSPLIT(Table1[[#This Row],[Item]], "-"), 7))</f>
        <v>0</v>
      </c>
      <c r="I35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53" s="1" t="str">
        <f>LEFT(RIGHT(Table1[[#This Row],[Item]],6),1)</f>
        <v>N</v>
      </c>
      <c r="K353" s="1" t="str">
        <f t="shared" si="6"/>
        <v>N</v>
      </c>
      <c r="L353" s="1" t="str">
        <f>RIGHT(Table1[[#This Row],[Item]],2)</f>
        <v>BR</v>
      </c>
      <c r="M353" s="1" t="s">
        <v>33</v>
      </c>
      <c r="N353" s="3" t="s">
        <v>373</v>
      </c>
      <c r="O353" s="1"/>
    </row>
    <row r="354" spans="1:15" ht="15" customHeight="1">
      <c r="A354" t="s">
        <v>374</v>
      </c>
      <c r="B354" s="1" t="str">
        <f>LEFT(Table1[[#This Row],[Item]], FIND("-", Table1[[#This Row],[Item]]) - 1)</f>
        <v>GX04</v>
      </c>
      <c r="C354" s="1" t="str">
        <f>MID(LEFT(Table1[[#This Row],[Item]], FIND("{token}", SUBSTITUTE(Table1[[#This Row],[Item]], "-", "{token}", 2)) - 1), FIND("-", Table1[[#This Row],[Item]]) + 1, LEN(Table1[[#This Row],[Item]]))</f>
        <v>R</v>
      </c>
      <c r="D354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5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54" s="1" cm="1">
        <f t="array" ref="F354">VALUE(INDEX(_xlfn.TEXTSPLIT(Table1[[#This Row],[Item]], "-"), 5))</f>
        <v>0</v>
      </c>
      <c r="G354" s="1" cm="1">
        <f t="array" ref="G354">VALUE(INDEX(_xlfn.TEXTSPLIT(Table1[[#This Row],[Item]], "-"), 6))</f>
        <v>1</v>
      </c>
      <c r="H354" s="1" cm="1">
        <f t="array" ref="H354">VALUE(INDEX(_xlfn.TEXTSPLIT(Table1[[#This Row],[Item]], "-"), 7))</f>
        <v>0</v>
      </c>
      <c r="I35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54" s="1" t="str">
        <f>LEFT(RIGHT(Table1[[#This Row],[Item]],6),1)</f>
        <v>N</v>
      </c>
      <c r="K354" s="1" t="str">
        <f t="shared" si="6"/>
        <v>N</v>
      </c>
      <c r="L354" s="1" t="str">
        <f>RIGHT(Table1[[#This Row],[Item]],2)</f>
        <v>BR</v>
      </c>
      <c r="M354" s="1" t="s">
        <v>33</v>
      </c>
      <c r="N354" s="3" t="s">
        <v>373</v>
      </c>
      <c r="O354" s="1"/>
    </row>
    <row r="355" spans="1:15" ht="15" customHeight="1">
      <c r="A355" t="s">
        <v>373</v>
      </c>
      <c r="B355" s="1" t="str">
        <f>LEFT(Table1[[#This Row],[Item]], FIND("-", Table1[[#This Row],[Item]]) - 1)</f>
        <v>GX04</v>
      </c>
      <c r="C355" s="1" t="str">
        <f>MID(LEFT(Table1[[#This Row],[Item]], FIND("{token}", SUBSTITUTE(Table1[[#This Row],[Item]], "-", "{token}", 2)) - 1), FIND("-", Table1[[#This Row],[Item]]) + 1, LEN(Table1[[#This Row],[Item]]))</f>
        <v>R</v>
      </c>
      <c r="D35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5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55" s="1" cm="1">
        <f t="array" ref="F355">VALUE(INDEX(_xlfn.TEXTSPLIT(Table1[[#This Row],[Item]], "-"), 5))</f>
        <v>0</v>
      </c>
      <c r="G355" s="1" cm="1">
        <f t="array" ref="G355">VALUE(INDEX(_xlfn.TEXTSPLIT(Table1[[#This Row],[Item]], "-"), 6))</f>
        <v>0</v>
      </c>
      <c r="H355" s="1" cm="1">
        <f t="array" ref="H355">VALUE(INDEX(_xlfn.TEXTSPLIT(Table1[[#This Row],[Item]], "-"), 7))</f>
        <v>0</v>
      </c>
      <c r="I35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55" s="1" t="str">
        <f>LEFT(RIGHT(Table1[[#This Row],[Item]],6),1)</f>
        <v>N</v>
      </c>
      <c r="K355" s="1" t="str">
        <f t="shared" si="6"/>
        <v>N</v>
      </c>
      <c r="L355" s="1" t="str">
        <f>RIGHT(Table1[[#This Row],[Item]],2)</f>
        <v>BR</v>
      </c>
      <c r="M355" s="1" t="s">
        <v>33</v>
      </c>
      <c r="N355" s="3" t="s">
        <v>373</v>
      </c>
      <c r="O355" s="1"/>
    </row>
    <row r="356" spans="1:15" ht="15" customHeight="1">
      <c r="A356" t="s">
        <v>375</v>
      </c>
      <c r="B356" s="1" t="str">
        <f>LEFT(Table1[[#This Row],[Item]], FIND("-", Table1[[#This Row],[Item]]) - 1)</f>
        <v>GX04</v>
      </c>
      <c r="C356" s="1" t="str">
        <f>MID(LEFT(Table1[[#This Row],[Item]], FIND("{token}", SUBSTITUTE(Table1[[#This Row],[Item]], "-", "{token}", 2)) - 1), FIND("-", Table1[[#This Row],[Item]]) + 1, LEN(Table1[[#This Row],[Item]]))</f>
        <v>R</v>
      </c>
      <c r="D35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5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56" s="1" cm="1">
        <f t="array" ref="F356">VALUE(INDEX(_xlfn.TEXTSPLIT(Table1[[#This Row],[Item]], "-"), 5))</f>
        <v>0</v>
      </c>
      <c r="G356" s="1" cm="1">
        <f t="array" ref="G356">VALUE(INDEX(_xlfn.TEXTSPLIT(Table1[[#This Row],[Item]], "-"), 6))</f>
        <v>1</v>
      </c>
      <c r="H356" s="1" cm="1">
        <f t="array" ref="H356">VALUE(INDEX(_xlfn.TEXTSPLIT(Table1[[#This Row],[Item]], "-"), 7))</f>
        <v>0</v>
      </c>
      <c r="I35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56" s="1" t="str">
        <f>LEFT(RIGHT(Table1[[#This Row],[Item]],6),1)</f>
        <v>N</v>
      </c>
      <c r="K356" s="1" t="str">
        <f t="shared" si="6"/>
        <v>N</v>
      </c>
      <c r="L356" s="1" t="str">
        <f>RIGHT(Table1[[#This Row],[Item]],2)</f>
        <v>BR</v>
      </c>
      <c r="M356" s="1" t="s">
        <v>33</v>
      </c>
      <c r="N356" s="3" t="s">
        <v>373</v>
      </c>
      <c r="O356" s="1"/>
    </row>
    <row r="357" spans="1:15" ht="15" customHeight="1">
      <c r="A357" t="s">
        <v>376</v>
      </c>
      <c r="B357" s="1" t="str">
        <f>LEFT(Table1[[#This Row],[Item]], FIND("-", Table1[[#This Row],[Item]]) - 1)</f>
        <v>GX04</v>
      </c>
      <c r="C357" s="1" t="str">
        <f>MID(LEFT(Table1[[#This Row],[Item]], FIND("{token}", SUBSTITUTE(Table1[[#This Row],[Item]], "-", "{token}", 2)) - 1), FIND("-", Table1[[#This Row],[Item]]) + 1, LEN(Table1[[#This Row],[Item]]))</f>
        <v>RXL</v>
      </c>
      <c r="D35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5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57" s="1" cm="1">
        <f t="array" ref="F357">VALUE(INDEX(_xlfn.TEXTSPLIT(Table1[[#This Row],[Item]], "-"), 5))</f>
        <v>0</v>
      </c>
      <c r="G357" s="1" cm="1">
        <f t="array" ref="G357">VALUE(INDEX(_xlfn.TEXTSPLIT(Table1[[#This Row],[Item]], "-"), 6))</f>
        <v>1</v>
      </c>
      <c r="H357" s="1" cm="1">
        <f t="array" ref="H357">VALUE(INDEX(_xlfn.TEXTSPLIT(Table1[[#This Row],[Item]], "-"), 7))</f>
        <v>0</v>
      </c>
      <c r="I35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57" s="1" t="str">
        <f>LEFT(RIGHT(Table1[[#This Row],[Item]],6),1)</f>
        <v>N</v>
      </c>
      <c r="K357" s="1" t="str">
        <f t="shared" si="6"/>
        <v>N</v>
      </c>
      <c r="L357" s="1" t="str">
        <f>RIGHT(Table1[[#This Row],[Item]],2)</f>
        <v>BR</v>
      </c>
      <c r="M357" s="1" t="s">
        <v>33</v>
      </c>
      <c r="N357" s="3" t="s">
        <v>376</v>
      </c>
      <c r="O357" s="1"/>
    </row>
    <row r="358" spans="1:15" ht="15" customHeight="1">
      <c r="A358" t="s">
        <v>377</v>
      </c>
      <c r="B358" s="1" t="str">
        <f>LEFT(Table1[[#This Row],[Item]], FIND("-", Table1[[#This Row],[Item]]) - 1)</f>
        <v>GX05</v>
      </c>
      <c r="C358" s="1" t="str">
        <f>MID(LEFT(Table1[[#This Row],[Item]], FIND("{token}", SUBSTITUTE(Table1[[#This Row],[Item]], "-", "{token}", 2)) - 1), FIND("-", Table1[[#This Row],[Item]]) + 1, LEN(Table1[[#This Row],[Item]]))</f>
        <v>R</v>
      </c>
      <c r="D35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5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58" s="1" cm="1">
        <f t="array" ref="F358">VALUE(INDEX(_xlfn.TEXTSPLIT(Table1[[#This Row],[Item]], "-"), 5))</f>
        <v>1</v>
      </c>
      <c r="G358" s="1" cm="1">
        <f t="array" ref="G358">VALUE(INDEX(_xlfn.TEXTSPLIT(Table1[[#This Row],[Item]], "-"), 6))</f>
        <v>0</v>
      </c>
      <c r="H358" s="1" cm="1">
        <f t="array" ref="H358">VALUE(INDEX(_xlfn.TEXTSPLIT(Table1[[#This Row],[Item]], "-"), 7))</f>
        <v>0</v>
      </c>
      <c r="I35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58" s="1" t="str">
        <f>LEFT(RIGHT(Table1[[#This Row],[Item]],6),1)</f>
        <v>N</v>
      </c>
      <c r="K358" s="1" t="str">
        <f t="shared" si="6"/>
        <v>N</v>
      </c>
      <c r="L358" s="1" t="str">
        <f>RIGHT(Table1[[#This Row],[Item]],2)</f>
        <v>BR</v>
      </c>
      <c r="M358" s="1" t="s">
        <v>33</v>
      </c>
      <c r="N358" s="3" t="s">
        <v>377</v>
      </c>
      <c r="O358" s="1"/>
    </row>
    <row r="359" spans="1:15" ht="15" customHeight="1">
      <c r="A359" t="s">
        <v>378</v>
      </c>
      <c r="B359" s="1" t="str">
        <f>LEFT(Table1[[#This Row],[Item]], FIND("-", Table1[[#This Row],[Item]]) - 1)</f>
        <v>GX06</v>
      </c>
      <c r="C359" s="1" t="str">
        <f>MID(LEFT(Table1[[#This Row],[Item]], FIND("{token}", SUBSTITUTE(Table1[[#This Row],[Item]], "-", "{token}", 2)) - 1), FIND("-", Table1[[#This Row],[Item]]) + 1, LEN(Table1[[#This Row],[Item]]))</f>
        <v>R</v>
      </c>
      <c r="D35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5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59" s="1" cm="1">
        <f t="array" ref="F359">VALUE(INDEX(_xlfn.TEXTSPLIT(Table1[[#This Row],[Item]], "-"), 5))</f>
        <v>1</v>
      </c>
      <c r="G359" s="1" cm="1">
        <f t="array" ref="G359">VALUE(INDEX(_xlfn.TEXTSPLIT(Table1[[#This Row],[Item]], "-"), 6))</f>
        <v>0</v>
      </c>
      <c r="H359" s="1" cm="1">
        <f t="array" ref="H359">VALUE(INDEX(_xlfn.TEXTSPLIT(Table1[[#This Row],[Item]], "-"), 7))</f>
        <v>0</v>
      </c>
      <c r="I35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59" s="1" t="str">
        <f>LEFT(RIGHT(Table1[[#This Row],[Item]],6),1)</f>
        <v>N</v>
      </c>
      <c r="K359" s="1" t="str">
        <f t="shared" si="6"/>
        <v>N</v>
      </c>
      <c r="L359" s="1" t="str">
        <f>RIGHT(Table1[[#This Row],[Item]],2)</f>
        <v>BR</v>
      </c>
      <c r="M359" s="1" t="s">
        <v>33</v>
      </c>
      <c r="N359" s="3" t="s">
        <v>378</v>
      </c>
      <c r="O359" s="1"/>
    </row>
    <row r="360" spans="1:15" ht="15" customHeight="1">
      <c r="A360" t="s">
        <v>379</v>
      </c>
      <c r="B360" s="1" t="str">
        <f>LEFT(Table1[[#This Row],[Item]], FIND("-", Table1[[#This Row],[Item]]) - 1)</f>
        <v>GX06</v>
      </c>
      <c r="C360" s="1" t="str">
        <f>MID(LEFT(Table1[[#This Row],[Item]], FIND("{token}", SUBSTITUTE(Table1[[#This Row],[Item]], "-", "{token}", 2)) - 1), FIND("-", Table1[[#This Row],[Item]]) + 1, LEN(Table1[[#This Row],[Item]]))</f>
        <v>R</v>
      </c>
      <c r="D36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6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60" s="1" cm="1">
        <f t="array" ref="F360">VALUE(INDEX(_xlfn.TEXTSPLIT(Table1[[#This Row],[Item]], "-"), 5))</f>
        <v>1</v>
      </c>
      <c r="G360" s="1" cm="1">
        <f t="array" ref="G360">VALUE(INDEX(_xlfn.TEXTSPLIT(Table1[[#This Row],[Item]], "-"), 6))</f>
        <v>1</v>
      </c>
      <c r="H360" s="1" cm="1">
        <f t="array" ref="H360">VALUE(INDEX(_xlfn.TEXTSPLIT(Table1[[#This Row],[Item]], "-"), 7))</f>
        <v>0</v>
      </c>
      <c r="I36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60" s="1" t="str">
        <f>LEFT(RIGHT(Table1[[#This Row],[Item]],6),1)</f>
        <v>N</v>
      </c>
      <c r="K360" s="1" t="str">
        <f t="shared" si="6"/>
        <v>N</v>
      </c>
      <c r="L360" s="1" t="str">
        <f>RIGHT(Table1[[#This Row],[Item]],2)</f>
        <v>BR</v>
      </c>
      <c r="M360" s="1" t="s">
        <v>33</v>
      </c>
      <c r="N360" s="3" t="s">
        <v>378</v>
      </c>
      <c r="O360" s="1"/>
    </row>
    <row r="361" spans="1:15" ht="15" customHeight="1">
      <c r="A361" t="s">
        <v>380</v>
      </c>
      <c r="B361" s="1" t="str">
        <f>LEFT(Table1[[#This Row],[Item]], FIND("-", Table1[[#This Row],[Item]]) - 1)</f>
        <v>GX06</v>
      </c>
      <c r="C361" s="1" t="str">
        <f>MID(LEFT(Table1[[#This Row],[Item]], FIND("{token}", SUBSTITUTE(Table1[[#This Row],[Item]], "-", "{token}", 2)) - 1), FIND("-", Table1[[#This Row],[Item]]) + 1, LEN(Table1[[#This Row],[Item]]))</f>
        <v>R</v>
      </c>
      <c r="D36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6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61" s="1" cm="1">
        <f t="array" ref="F361">VALUE(INDEX(_xlfn.TEXTSPLIT(Table1[[#This Row],[Item]], "-"), 5))</f>
        <v>0</v>
      </c>
      <c r="G361" s="1" cm="1">
        <f t="array" ref="G361">VALUE(INDEX(_xlfn.TEXTSPLIT(Table1[[#This Row],[Item]], "-"), 6))</f>
        <v>0</v>
      </c>
      <c r="H361" s="1" cm="1">
        <f t="array" ref="H361">VALUE(INDEX(_xlfn.TEXTSPLIT(Table1[[#This Row],[Item]], "-"), 7))</f>
        <v>0</v>
      </c>
      <c r="I36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61" s="1" t="str">
        <f>LEFT(RIGHT(Table1[[#This Row],[Item]],6),1)</f>
        <v>N</v>
      </c>
      <c r="K361" s="1" t="str">
        <f t="shared" si="6"/>
        <v>N</v>
      </c>
      <c r="L361" s="1" t="str">
        <f>RIGHT(Table1[[#This Row],[Item]],2)</f>
        <v>BR</v>
      </c>
      <c r="M361" s="1" t="s">
        <v>33</v>
      </c>
      <c r="N361" s="3" t="s">
        <v>380</v>
      </c>
      <c r="O361" s="1"/>
    </row>
    <row r="362" spans="1:15" ht="15" customHeight="1">
      <c r="A362" t="s">
        <v>381</v>
      </c>
      <c r="B362" s="1" t="str">
        <f>LEFT(Table1[[#This Row],[Item]], FIND("-", Table1[[#This Row],[Item]]) - 1)</f>
        <v>GX06</v>
      </c>
      <c r="C362" s="1" t="str">
        <f>MID(LEFT(Table1[[#This Row],[Item]], FIND("{token}", SUBSTITUTE(Table1[[#This Row],[Item]], "-", "{token}", 2)) - 1), FIND("-", Table1[[#This Row],[Item]]) + 1, LEN(Table1[[#This Row],[Item]]))</f>
        <v>R</v>
      </c>
      <c r="D36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6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62" s="1" cm="1">
        <f t="array" ref="F362">VALUE(INDEX(_xlfn.TEXTSPLIT(Table1[[#This Row],[Item]], "-"), 5))</f>
        <v>1</v>
      </c>
      <c r="G362" s="1" cm="1">
        <f t="array" ref="G362">VALUE(INDEX(_xlfn.TEXTSPLIT(Table1[[#This Row],[Item]], "-"), 6))</f>
        <v>0</v>
      </c>
      <c r="H362" s="1" cm="1">
        <f t="array" ref="H362">VALUE(INDEX(_xlfn.TEXTSPLIT(Table1[[#This Row],[Item]], "-"), 7))</f>
        <v>0</v>
      </c>
      <c r="I36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62" s="1" t="str">
        <f>LEFT(RIGHT(Table1[[#This Row],[Item]],6),1)</f>
        <v>N</v>
      </c>
      <c r="K362" s="1" t="str">
        <f t="shared" si="6"/>
        <v>N</v>
      </c>
      <c r="L362" s="1" t="str">
        <f>RIGHT(Table1[[#This Row],[Item]],2)</f>
        <v>BR</v>
      </c>
      <c r="M362" s="1" t="s">
        <v>33</v>
      </c>
      <c r="N362" s="3" t="s">
        <v>381</v>
      </c>
      <c r="O362" s="1"/>
    </row>
    <row r="363" spans="1:15" ht="15" customHeight="1">
      <c r="A363" t="s">
        <v>382</v>
      </c>
      <c r="B363" s="1" t="str">
        <f>LEFT(Table1[[#This Row],[Item]], FIND("-", Table1[[#This Row],[Item]]) - 1)</f>
        <v>GX06</v>
      </c>
      <c r="C363" s="1" t="str">
        <f>MID(LEFT(Table1[[#This Row],[Item]], FIND("{token}", SUBSTITUTE(Table1[[#This Row],[Item]], "-", "{token}", 2)) - 1), FIND("-", Table1[[#This Row],[Item]]) + 1, LEN(Table1[[#This Row],[Item]]))</f>
        <v>R</v>
      </c>
      <c r="D36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6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63" s="1" cm="1">
        <f t="array" ref="F363">VALUE(INDEX(_xlfn.TEXTSPLIT(Table1[[#This Row],[Item]], "-"), 5))</f>
        <v>1</v>
      </c>
      <c r="G363" s="1" cm="1">
        <f t="array" ref="G363">VALUE(INDEX(_xlfn.TEXTSPLIT(Table1[[#This Row],[Item]], "-"), 6))</f>
        <v>1</v>
      </c>
      <c r="H363" s="1" cm="1">
        <f t="array" ref="H363">VALUE(INDEX(_xlfn.TEXTSPLIT(Table1[[#This Row],[Item]], "-"), 7))</f>
        <v>0</v>
      </c>
      <c r="I36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63" s="1" t="str">
        <f>LEFT(RIGHT(Table1[[#This Row],[Item]],6),1)</f>
        <v>N</v>
      </c>
      <c r="K363" s="1" t="str">
        <f t="shared" si="6"/>
        <v>N</v>
      </c>
      <c r="L363" s="1" t="str">
        <f>RIGHT(Table1[[#This Row],[Item]],2)</f>
        <v>BR</v>
      </c>
      <c r="M363" s="1" t="s">
        <v>33</v>
      </c>
      <c r="N363" s="3" t="s">
        <v>381</v>
      </c>
      <c r="O363" s="1"/>
    </row>
    <row r="364" spans="1:15" ht="15" customHeight="1">
      <c r="A364" t="s">
        <v>383</v>
      </c>
      <c r="B364" s="1" t="str">
        <f>LEFT(Table1[[#This Row],[Item]], FIND("-", Table1[[#This Row],[Item]]) - 1)</f>
        <v>GX06</v>
      </c>
      <c r="C364" s="1" t="str">
        <f>MID(LEFT(Table1[[#This Row],[Item]], FIND("{token}", SUBSTITUTE(Table1[[#This Row],[Item]], "-", "{token}", 2)) - 1), FIND("-", Table1[[#This Row],[Item]]) + 1, LEN(Table1[[#This Row],[Item]]))</f>
        <v>R</v>
      </c>
      <c r="D364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36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64" s="1" cm="1">
        <f t="array" ref="F364">VALUE(INDEX(_xlfn.TEXTSPLIT(Table1[[#This Row],[Item]], "-"), 5))</f>
        <v>1</v>
      </c>
      <c r="G364" s="1" cm="1">
        <f t="array" ref="G364">VALUE(INDEX(_xlfn.TEXTSPLIT(Table1[[#This Row],[Item]], "-"), 6))</f>
        <v>0</v>
      </c>
      <c r="H364" s="1" cm="1">
        <f t="array" ref="H364">VALUE(INDEX(_xlfn.TEXTSPLIT(Table1[[#This Row],[Item]], "-"), 7))</f>
        <v>0</v>
      </c>
      <c r="I36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64" s="1" t="str">
        <f>LEFT(RIGHT(Table1[[#This Row],[Item]],6),1)</f>
        <v>N</v>
      </c>
      <c r="K364" s="1" t="str">
        <f t="shared" si="6"/>
        <v>N</v>
      </c>
      <c r="L364" s="1" t="str">
        <f>RIGHT(Table1[[#This Row],[Item]],2)</f>
        <v>BR</v>
      </c>
      <c r="M364" s="1" t="s">
        <v>33</v>
      </c>
      <c r="N364" s="3" t="s">
        <v>383</v>
      </c>
      <c r="O364" s="1"/>
    </row>
    <row r="365" spans="1:15" ht="15" customHeight="1">
      <c r="A365" t="s">
        <v>384</v>
      </c>
      <c r="B365" s="1" t="str">
        <f>LEFT(Table1[[#This Row],[Item]], FIND("-", Table1[[#This Row],[Item]]) - 1)</f>
        <v>GX06</v>
      </c>
      <c r="C365" s="1" t="str">
        <f>MID(LEFT(Table1[[#This Row],[Item]], FIND("{token}", SUBSTITUTE(Table1[[#This Row],[Item]], "-", "{token}", 2)) - 1), FIND("-", Table1[[#This Row],[Item]]) + 1, LEN(Table1[[#This Row],[Item]]))</f>
        <v>RXL</v>
      </c>
      <c r="D365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6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65" s="1" cm="1">
        <f t="array" ref="F365">VALUE(INDEX(_xlfn.TEXTSPLIT(Table1[[#This Row],[Item]], "-"), 5))</f>
        <v>0</v>
      </c>
      <c r="G365" s="1" cm="1">
        <f t="array" ref="G365">VALUE(INDEX(_xlfn.TEXTSPLIT(Table1[[#This Row],[Item]], "-"), 6))</f>
        <v>1</v>
      </c>
      <c r="H365" s="1" cm="1">
        <f t="array" ref="H365">VALUE(INDEX(_xlfn.TEXTSPLIT(Table1[[#This Row],[Item]], "-"), 7))</f>
        <v>0</v>
      </c>
      <c r="I36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65" s="1" t="str">
        <f>LEFT(RIGHT(Table1[[#This Row],[Item]],6),1)</f>
        <v>N</v>
      </c>
      <c r="K365" s="1" t="str">
        <f t="shared" si="6"/>
        <v>N</v>
      </c>
      <c r="L365" s="1" t="str">
        <f>RIGHT(Table1[[#This Row],[Item]],2)</f>
        <v>BR</v>
      </c>
      <c r="M365" s="1" t="s">
        <v>33</v>
      </c>
      <c r="N365" s="3" t="s">
        <v>384</v>
      </c>
      <c r="O365" s="1"/>
    </row>
    <row r="366" spans="1:15" ht="15" customHeight="1">
      <c r="A366" t="s">
        <v>385</v>
      </c>
      <c r="B366" s="1" t="str">
        <f>LEFT(Table1[[#This Row],[Item]], FIND("-", Table1[[#This Row],[Item]]) - 1)</f>
        <v>GX06</v>
      </c>
      <c r="C366" s="1" t="str">
        <f>MID(LEFT(Table1[[#This Row],[Item]], FIND("{token}", SUBSTITUTE(Table1[[#This Row],[Item]], "-", "{token}", 2)) - 1), FIND("-", Table1[[#This Row],[Item]]) + 1, LEN(Table1[[#This Row],[Item]]))</f>
        <v>RXL</v>
      </c>
      <c r="D36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6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66" s="1" cm="1">
        <f t="array" ref="F366">VALUE(INDEX(_xlfn.TEXTSPLIT(Table1[[#This Row],[Item]], "-"), 5))</f>
        <v>1</v>
      </c>
      <c r="G366" s="1" cm="1">
        <f t="array" ref="G366">VALUE(INDEX(_xlfn.TEXTSPLIT(Table1[[#This Row],[Item]], "-"), 6))</f>
        <v>0</v>
      </c>
      <c r="H366" s="1" cm="1">
        <f t="array" ref="H366">VALUE(INDEX(_xlfn.TEXTSPLIT(Table1[[#This Row],[Item]], "-"), 7))</f>
        <v>0</v>
      </c>
      <c r="I36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66" s="1" t="str">
        <f>LEFT(RIGHT(Table1[[#This Row],[Item]],6),1)</f>
        <v>N</v>
      </c>
      <c r="K366" s="1" t="str">
        <f t="shared" si="6"/>
        <v>N</v>
      </c>
      <c r="L366" s="1" t="str">
        <f>RIGHT(Table1[[#This Row],[Item]],2)</f>
        <v>BR</v>
      </c>
      <c r="M366" s="1" t="s">
        <v>33</v>
      </c>
      <c r="N366" s="3" t="s">
        <v>385</v>
      </c>
      <c r="O366" s="1"/>
    </row>
    <row r="367" spans="1:15" ht="15" customHeight="1">
      <c r="A367" t="s">
        <v>386</v>
      </c>
      <c r="B367" s="1" t="str">
        <f>LEFT(Table1[[#This Row],[Item]], FIND("-", Table1[[#This Row],[Item]]) - 1)</f>
        <v>GX08</v>
      </c>
      <c r="C367" s="1" t="str">
        <f>MID(LEFT(Table1[[#This Row],[Item]], FIND("{token}", SUBSTITUTE(Table1[[#This Row],[Item]], "-", "{token}", 2)) - 1), FIND("-", Table1[[#This Row],[Item]]) + 1, LEN(Table1[[#This Row],[Item]]))</f>
        <v>C</v>
      </c>
      <c r="D367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36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67" s="1" cm="1">
        <f t="array" ref="F367">VALUE(INDEX(_xlfn.TEXTSPLIT(Table1[[#This Row],[Item]], "-"), 5))</f>
        <v>0</v>
      </c>
      <c r="G367" s="1" cm="1">
        <f t="array" ref="G367">VALUE(INDEX(_xlfn.TEXTSPLIT(Table1[[#This Row],[Item]], "-"), 6))</f>
        <v>1</v>
      </c>
      <c r="H367" s="1" cm="1">
        <f t="array" ref="H367">VALUE(INDEX(_xlfn.TEXTSPLIT(Table1[[#This Row],[Item]], "-"), 7))</f>
        <v>0</v>
      </c>
      <c r="I36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67" s="1" t="str">
        <f>LEFT(RIGHT(Table1[[#This Row],[Item]],6),1)</f>
        <v>N</v>
      </c>
      <c r="K367" s="1" t="str">
        <f t="shared" si="6"/>
        <v>N</v>
      </c>
      <c r="L367" s="1" t="str">
        <f>RIGHT(Table1[[#This Row],[Item]],2)</f>
        <v>BR</v>
      </c>
      <c r="M367" s="1" t="s">
        <v>33</v>
      </c>
      <c r="N367" s="3" t="s">
        <v>386</v>
      </c>
      <c r="O367" s="1"/>
    </row>
    <row r="368" spans="1:15" ht="15" customHeight="1">
      <c r="A368" t="s">
        <v>387</v>
      </c>
      <c r="B368" s="1" t="str">
        <f>LEFT(Table1[[#This Row],[Item]], FIND("-", Table1[[#This Row],[Item]]) - 1)</f>
        <v>GX08</v>
      </c>
      <c r="C368" s="1" t="str">
        <f>MID(LEFT(Table1[[#This Row],[Item]], FIND("{token}", SUBSTITUTE(Table1[[#This Row],[Item]], "-", "{token}", 2)) - 1), FIND("-", Table1[[#This Row],[Item]]) + 1, LEN(Table1[[#This Row],[Item]]))</f>
        <v>C</v>
      </c>
      <c r="D368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36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68" s="1" cm="1">
        <f t="array" ref="F368">VALUE(INDEX(_xlfn.TEXTSPLIT(Table1[[#This Row],[Item]], "-"), 5))</f>
        <v>1</v>
      </c>
      <c r="G368" s="1" cm="1">
        <f t="array" ref="G368">VALUE(INDEX(_xlfn.TEXTSPLIT(Table1[[#This Row],[Item]], "-"), 6))</f>
        <v>1</v>
      </c>
      <c r="H368" s="1" cm="1">
        <f t="array" ref="H368">VALUE(INDEX(_xlfn.TEXTSPLIT(Table1[[#This Row],[Item]], "-"), 7))</f>
        <v>0</v>
      </c>
      <c r="I36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68" s="1" t="str">
        <f>LEFT(RIGHT(Table1[[#This Row],[Item]],6),1)</f>
        <v>N</v>
      </c>
      <c r="K368" s="1" t="str">
        <f t="shared" si="6"/>
        <v>N</v>
      </c>
      <c r="L368" s="1" t="str">
        <f>RIGHT(Table1[[#This Row],[Item]],2)</f>
        <v>BR</v>
      </c>
      <c r="M368" s="1" t="s">
        <v>33</v>
      </c>
      <c r="N368" s="3" t="s">
        <v>388</v>
      </c>
      <c r="O368" s="1"/>
    </row>
    <row r="369" spans="1:15" ht="15" customHeight="1">
      <c r="A369" t="s">
        <v>389</v>
      </c>
      <c r="B369" s="1" t="str">
        <f>LEFT(Table1[[#This Row],[Item]], FIND("-", Table1[[#This Row],[Item]]) - 1)</f>
        <v>GX08</v>
      </c>
      <c r="C369" s="1" t="str">
        <f>MID(LEFT(Table1[[#This Row],[Item]], FIND("{token}", SUBSTITUTE(Table1[[#This Row],[Item]], "-", "{token}", 2)) - 1), FIND("-", Table1[[#This Row],[Item]]) + 1, LEN(Table1[[#This Row],[Item]]))</f>
        <v>C</v>
      </c>
      <c r="D36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6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369" s="1" cm="1">
        <f t="array" ref="F369">VALUE(INDEX(_xlfn.TEXTSPLIT(Table1[[#This Row],[Item]], "-"), 5))</f>
        <v>1</v>
      </c>
      <c r="G369" s="1" cm="1">
        <f t="array" ref="G369">VALUE(INDEX(_xlfn.TEXTSPLIT(Table1[[#This Row],[Item]], "-"), 6))</f>
        <v>0</v>
      </c>
      <c r="H369" s="1" cm="1">
        <f t="array" ref="H369">VALUE(INDEX(_xlfn.TEXTSPLIT(Table1[[#This Row],[Item]], "-"), 7))</f>
        <v>1</v>
      </c>
      <c r="I36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69" s="1" t="str">
        <f>LEFT(RIGHT(Table1[[#This Row],[Item]],6),1)</f>
        <v>N</v>
      </c>
      <c r="K369" s="1" t="str">
        <f t="shared" si="6"/>
        <v>N</v>
      </c>
      <c r="L369" s="1" t="str">
        <f>RIGHT(Table1[[#This Row],[Item]],2)</f>
        <v>BR</v>
      </c>
      <c r="M369" s="1" t="s">
        <v>33</v>
      </c>
      <c r="N369" s="3" t="s">
        <v>389</v>
      </c>
      <c r="O369" s="1"/>
    </row>
    <row r="370" spans="1:15" ht="15" customHeight="1">
      <c r="A370" t="s">
        <v>390</v>
      </c>
      <c r="B370" s="1" t="str">
        <f>LEFT(Table1[[#This Row],[Item]], FIND("-", Table1[[#This Row],[Item]]) - 1)</f>
        <v>GX08</v>
      </c>
      <c r="C370" s="1" t="str">
        <f>MID(LEFT(Table1[[#This Row],[Item]], FIND("{token}", SUBSTITUTE(Table1[[#This Row],[Item]], "-", "{token}", 2)) - 1), FIND("-", Table1[[#This Row],[Item]]) + 1, LEN(Table1[[#This Row],[Item]]))</f>
        <v>C</v>
      </c>
      <c r="D37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7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70" s="1" cm="1">
        <f t="array" ref="F370">VALUE(INDEX(_xlfn.TEXTSPLIT(Table1[[#This Row],[Item]], "-"), 5))</f>
        <v>0</v>
      </c>
      <c r="G370" s="1" cm="1">
        <f t="array" ref="G370">VALUE(INDEX(_xlfn.TEXTSPLIT(Table1[[#This Row],[Item]], "-"), 6))</f>
        <v>0</v>
      </c>
      <c r="H370" s="1" cm="1">
        <f t="array" ref="H370">VALUE(INDEX(_xlfn.TEXTSPLIT(Table1[[#This Row],[Item]], "-"), 7))</f>
        <v>0</v>
      </c>
      <c r="I37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70" s="1" t="str">
        <f>LEFT(RIGHT(Table1[[#This Row],[Item]],6),1)</f>
        <v>N</v>
      </c>
      <c r="K370" s="1" t="str">
        <f t="shared" si="6"/>
        <v>N</v>
      </c>
      <c r="L370" s="1" t="str">
        <f>RIGHT(Table1[[#This Row],[Item]],2)</f>
        <v>BR</v>
      </c>
      <c r="M370" s="1" t="s">
        <v>33</v>
      </c>
      <c r="N370" s="3" t="s">
        <v>390</v>
      </c>
      <c r="O370" s="1"/>
    </row>
    <row r="371" spans="1:15" ht="15" customHeight="1">
      <c r="A371" t="s">
        <v>391</v>
      </c>
      <c r="B371" s="1" t="str">
        <f>LEFT(Table1[[#This Row],[Item]], FIND("-", Table1[[#This Row],[Item]]) - 1)</f>
        <v>GX08</v>
      </c>
      <c r="C371" s="1" t="str">
        <f>MID(LEFT(Table1[[#This Row],[Item]], FIND("{token}", SUBSTITUTE(Table1[[#This Row],[Item]], "-", "{token}", 2)) - 1), FIND("-", Table1[[#This Row],[Item]]) + 1, LEN(Table1[[#This Row],[Item]]))</f>
        <v>C</v>
      </c>
      <c r="D37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7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71" s="1" cm="1">
        <f t="array" ref="F371">VALUE(INDEX(_xlfn.TEXTSPLIT(Table1[[#This Row],[Item]], "-"), 5))</f>
        <v>1</v>
      </c>
      <c r="G371" s="1" cm="1">
        <f t="array" ref="G371">VALUE(INDEX(_xlfn.TEXTSPLIT(Table1[[#This Row],[Item]], "-"), 6))</f>
        <v>0</v>
      </c>
      <c r="H371" s="1" cm="1">
        <f t="array" ref="H371">VALUE(INDEX(_xlfn.TEXTSPLIT(Table1[[#This Row],[Item]], "-"), 7))</f>
        <v>0</v>
      </c>
      <c r="I37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71" s="1" t="str">
        <f>LEFT(RIGHT(Table1[[#This Row],[Item]],6),1)</f>
        <v>N</v>
      </c>
      <c r="K371" s="1" t="str">
        <f t="shared" si="6"/>
        <v>N</v>
      </c>
      <c r="L371" s="1" t="str">
        <f>RIGHT(Table1[[#This Row],[Item]],2)</f>
        <v>BR</v>
      </c>
      <c r="M371" s="1" t="s">
        <v>33</v>
      </c>
      <c r="N371" s="3" t="s">
        <v>388</v>
      </c>
      <c r="O371" s="1"/>
    </row>
    <row r="372" spans="1:15" ht="15" customHeight="1">
      <c r="A372" t="s">
        <v>388</v>
      </c>
      <c r="B372" s="1" t="str">
        <f>LEFT(Table1[[#This Row],[Item]], FIND("-", Table1[[#This Row],[Item]]) - 1)</f>
        <v>GX08</v>
      </c>
      <c r="C372" s="1" t="str">
        <f>MID(LEFT(Table1[[#This Row],[Item]], FIND("{token}", SUBSTITUTE(Table1[[#This Row],[Item]], "-", "{token}", 2)) - 1), FIND("-", Table1[[#This Row],[Item]]) + 1, LEN(Table1[[#This Row],[Item]]))</f>
        <v>C</v>
      </c>
      <c r="D37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7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72" s="1" cm="1">
        <f t="array" ref="F372">VALUE(INDEX(_xlfn.TEXTSPLIT(Table1[[#This Row],[Item]], "-"), 5))</f>
        <v>1</v>
      </c>
      <c r="G372" s="1" cm="1">
        <f t="array" ref="G372">VALUE(INDEX(_xlfn.TEXTSPLIT(Table1[[#This Row],[Item]], "-"), 6))</f>
        <v>1</v>
      </c>
      <c r="H372" s="1" cm="1">
        <f t="array" ref="H372">VALUE(INDEX(_xlfn.TEXTSPLIT(Table1[[#This Row],[Item]], "-"), 7))</f>
        <v>0</v>
      </c>
      <c r="I37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72" s="1" t="str">
        <f>LEFT(RIGHT(Table1[[#This Row],[Item]],6),1)</f>
        <v>N</v>
      </c>
      <c r="K372" s="1" t="str">
        <f t="shared" si="6"/>
        <v>N</v>
      </c>
      <c r="L372" s="1" t="str">
        <f>RIGHT(Table1[[#This Row],[Item]],2)</f>
        <v>BR</v>
      </c>
      <c r="M372" s="1" t="s">
        <v>33</v>
      </c>
      <c r="N372" s="3" t="s">
        <v>388</v>
      </c>
      <c r="O372" s="1"/>
    </row>
    <row r="373" spans="1:15" ht="15" customHeight="1">
      <c r="A373" t="s">
        <v>392</v>
      </c>
      <c r="B373" s="1" t="str">
        <f>LEFT(Table1[[#This Row],[Item]], FIND("-", Table1[[#This Row],[Item]]) - 1)</f>
        <v>GX08</v>
      </c>
      <c r="C373" s="1" t="str">
        <f>MID(LEFT(Table1[[#This Row],[Item]], FIND("{token}", SUBSTITUTE(Table1[[#This Row],[Item]], "-", "{token}", 2)) - 1), FIND("-", Table1[[#This Row],[Item]]) + 1, LEN(Table1[[#This Row],[Item]]))</f>
        <v>C</v>
      </c>
      <c r="D37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7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73" s="1" cm="1">
        <f t="array" ref="F373">VALUE(INDEX(_xlfn.TEXTSPLIT(Table1[[#This Row],[Item]], "-"), 5))</f>
        <v>1</v>
      </c>
      <c r="G373" s="1" cm="1">
        <f t="array" ref="G373">VALUE(INDEX(_xlfn.TEXTSPLIT(Table1[[#This Row],[Item]], "-"), 6))</f>
        <v>1</v>
      </c>
      <c r="H373" s="1" cm="1">
        <f t="array" ref="H373">VALUE(INDEX(_xlfn.TEXTSPLIT(Table1[[#This Row],[Item]], "-"), 7))</f>
        <v>1</v>
      </c>
      <c r="I37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73" s="1" t="str">
        <f>LEFT(RIGHT(Table1[[#This Row],[Item]],6),1)</f>
        <v>N</v>
      </c>
      <c r="K373" s="1" t="str">
        <f t="shared" si="6"/>
        <v>N</v>
      </c>
      <c r="L373" s="1" t="str">
        <f>RIGHT(Table1[[#This Row],[Item]],2)</f>
        <v>BR</v>
      </c>
      <c r="M373" s="1" t="s">
        <v>33</v>
      </c>
      <c r="N373" s="3" t="s">
        <v>392</v>
      </c>
      <c r="O373" s="1"/>
    </row>
    <row r="374" spans="1:15" ht="15" customHeight="1">
      <c r="A374" t="s">
        <v>393</v>
      </c>
      <c r="B374" s="1" t="str">
        <f>LEFT(Table1[[#This Row],[Item]], FIND("-", Table1[[#This Row],[Item]]) - 1)</f>
        <v>GX08</v>
      </c>
      <c r="C374" s="1" t="str">
        <f>MID(LEFT(Table1[[#This Row],[Item]], FIND("{token}", SUBSTITUTE(Table1[[#This Row],[Item]], "-", "{token}", 2)) - 1), FIND("-", Table1[[#This Row],[Item]]) + 1, LEN(Table1[[#This Row],[Item]]))</f>
        <v>CXL</v>
      </c>
      <c r="D37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7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74" s="1" cm="1">
        <f t="array" ref="F374">VALUE(INDEX(_xlfn.TEXTSPLIT(Table1[[#This Row],[Item]], "-"), 5))</f>
        <v>1</v>
      </c>
      <c r="G374" s="1" cm="1">
        <f t="array" ref="G374">VALUE(INDEX(_xlfn.TEXTSPLIT(Table1[[#This Row],[Item]], "-"), 6))</f>
        <v>1</v>
      </c>
      <c r="H374" s="1" cm="1">
        <f t="array" ref="H374">VALUE(INDEX(_xlfn.TEXTSPLIT(Table1[[#This Row],[Item]], "-"), 7))</f>
        <v>0</v>
      </c>
      <c r="I37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74" s="1" t="str">
        <f>LEFT(RIGHT(Table1[[#This Row],[Item]],6),1)</f>
        <v>N</v>
      </c>
      <c r="K374" s="1" t="str">
        <f t="shared" si="6"/>
        <v>N</v>
      </c>
      <c r="L374" s="1" t="str">
        <f>RIGHT(Table1[[#This Row],[Item]],2)</f>
        <v>BR</v>
      </c>
      <c r="M374" s="1" t="s">
        <v>33</v>
      </c>
      <c r="N374" s="3" t="s">
        <v>393</v>
      </c>
      <c r="O374" s="1"/>
    </row>
    <row r="375" spans="1:15" ht="15" customHeight="1">
      <c r="A375" t="s">
        <v>394</v>
      </c>
      <c r="B375" s="1" t="str">
        <f>LEFT(Table1[[#This Row],[Item]], FIND("-", Table1[[#This Row],[Item]]) - 1)</f>
        <v>GX08</v>
      </c>
      <c r="C375" s="1" t="str">
        <f>MID(LEFT(Table1[[#This Row],[Item]], FIND("{token}", SUBSTITUTE(Table1[[#This Row],[Item]], "-", "{token}", 2)) - 1), FIND("-", Table1[[#This Row],[Item]]) + 1, LEN(Table1[[#This Row],[Item]]))</f>
        <v>L</v>
      </c>
      <c r="D37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7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75" s="1" cm="1">
        <f t="array" ref="F375">VALUE(INDEX(_xlfn.TEXTSPLIT(Table1[[#This Row],[Item]], "-"), 5))</f>
        <v>1</v>
      </c>
      <c r="G375" s="1" cm="1">
        <f t="array" ref="G375">VALUE(INDEX(_xlfn.TEXTSPLIT(Table1[[#This Row],[Item]], "-"), 6))</f>
        <v>2</v>
      </c>
      <c r="H375" s="1" cm="1">
        <f t="array" ref="H375">VALUE(INDEX(_xlfn.TEXTSPLIT(Table1[[#This Row],[Item]], "-"), 7))</f>
        <v>0</v>
      </c>
      <c r="I37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75" s="1" t="str">
        <f>LEFT(RIGHT(Table1[[#This Row],[Item]],6),1)</f>
        <v>N</v>
      </c>
      <c r="K375" s="1" t="str">
        <f t="shared" si="6"/>
        <v>N</v>
      </c>
      <c r="L375" s="1" t="str">
        <f>RIGHT(Table1[[#This Row],[Item]],2)</f>
        <v>BR</v>
      </c>
      <c r="M375" s="1" t="s">
        <v>33</v>
      </c>
      <c r="N375" s="3" t="s">
        <v>394</v>
      </c>
      <c r="O375" s="1"/>
    </row>
    <row r="376" spans="1:15" ht="15" customHeight="1">
      <c r="A376" t="s">
        <v>395</v>
      </c>
      <c r="B376" s="1" t="str">
        <f>LEFT(Table1[[#This Row],[Item]], FIND("-", Table1[[#This Row],[Item]]) - 1)</f>
        <v>GX08</v>
      </c>
      <c r="C376" s="1" t="str">
        <f>MID(LEFT(Table1[[#This Row],[Item]], FIND("{token}", SUBSTITUTE(Table1[[#This Row],[Item]], "-", "{token}", 2)) - 1), FIND("-", Table1[[#This Row],[Item]]) + 1, LEN(Table1[[#This Row],[Item]]))</f>
        <v>R</v>
      </c>
      <c r="D376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7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376" s="1" cm="1">
        <f t="array" ref="F376">VALUE(INDEX(_xlfn.TEXTSPLIT(Table1[[#This Row],[Item]], "-"), 5))</f>
        <v>1</v>
      </c>
      <c r="G376" s="1" cm="1">
        <f t="array" ref="G376">VALUE(INDEX(_xlfn.TEXTSPLIT(Table1[[#This Row],[Item]], "-"), 6))</f>
        <v>0</v>
      </c>
      <c r="H376" s="1" cm="1">
        <f t="array" ref="H376">VALUE(INDEX(_xlfn.TEXTSPLIT(Table1[[#This Row],[Item]], "-"), 7))</f>
        <v>1</v>
      </c>
      <c r="I37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76" s="1" t="str">
        <f>LEFT(RIGHT(Table1[[#This Row],[Item]],6),1)</f>
        <v>N</v>
      </c>
      <c r="K376" s="1" t="str">
        <f t="shared" si="6"/>
        <v>N</v>
      </c>
      <c r="L376" s="1" t="str">
        <f>RIGHT(Table1[[#This Row],[Item]],2)</f>
        <v>BR</v>
      </c>
      <c r="M376" s="1" t="s">
        <v>33</v>
      </c>
      <c r="N376" s="3" t="s">
        <v>395</v>
      </c>
      <c r="O376" s="1"/>
    </row>
    <row r="377" spans="1:15" ht="15" customHeight="1">
      <c r="A377" t="s">
        <v>396</v>
      </c>
      <c r="B377" s="1" t="str">
        <f>LEFT(Table1[[#This Row],[Item]], FIND("-", Table1[[#This Row],[Item]]) - 1)</f>
        <v>GX08</v>
      </c>
      <c r="C377" s="1" t="str">
        <f>MID(LEFT(Table1[[#This Row],[Item]], FIND("{token}", SUBSTITUTE(Table1[[#This Row],[Item]], "-", "{token}", 2)) - 1), FIND("-", Table1[[#This Row],[Item]]) + 1, LEN(Table1[[#This Row],[Item]]))</f>
        <v>R</v>
      </c>
      <c r="D37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7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377" s="1" cm="1">
        <f t="array" ref="F377">VALUE(INDEX(_xlfn.TEXTSPLIT(Table1[[#This Row],[Item]], "-"), 5))</f>
        <v>1</v>
      </c>
      <c r="G377" s="1" cm="1">
        <f t="array" ref="G377">VALUE(INDEX(_xlfn.TEXTSPLIT(Table1[[#This Row],[Item]], "-"), 6))</f>
        <v>1</v>
      </c>
      <c r="H377" s="1" cm="1">
        <f t="array" ref="H377">VALUE(INDEX(_xlfn.TEXTSPLIT(Table1[[#This Row],[Item]], "-"), 7))</f>
        <v>1</v>
      </c>
      <c r="I37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77" s="1" t="str">
        <f>LEFT(RIGHT(Table1[[#This Row],[Item]],6),1)</f>
        <v>N</v>
      </c>
      <c r="K377" s="1" t="str">
        <f t="shared" si="6"/>
        <v>N</v>
      </c>
      <c r="L377" s="1" t="str">
        <f>RIGHT(Table1[[#This Row],[Item]],2)</f>
        <v>BR</v>
      </c>
      <c r="M377" s="1" t="s">
        <v>33</v>
      </c>
      <c r="N377" s="3" t="s">
        <v>396</v>
      </c>
      <c r="O377" s="1"/>
    </row>
    <row r="378" spans="1:15" ht="15" customHeight="1">
      <c r="A378" t="s">
        <v>397</v>
      </c>
      <c r="B378" s="1" t="str">
        <f>LEFT(Table1[[#This Row],[Item]], FIND("-", Table1[[#This Row],[Item]]) - 1)</f>
        <v>GX08</v>
      </c>
      <c r="C378" s="1" t="str">
        <f>MID(LEFT(Table1[[#This Row],[Item]], FIND("{token}", SUBSTITUTE(Table1[[#This Row],[Item]], "-", "{token}", 2)) - 1), FIND("-", Table1[[#This Row],[Item]]) + 1, LEN(Table1[[#This Row],[Item]]))</f>
        <v>R</v>
      </c>
      <c r="D37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7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78" s="1" cm="1">
        <f t="array" ref="F378">VALUE(INDEX(_xlfn.TEXTSPLIT(Table1[[#This Row],[Item]], "-"), 5))</f>
        <v>0</v>
      </c>
      <c r="G378" s="1" cm="1">
        <f t="array" ref="G378">VALUE(INDEX(_xlfn.TEXTSPLIT(Table1[[#This Row],[Item]], "-"), 6))</f>
        <v>0</v>
      </c>
      <c r="H378" s="1" cm="1">
        <f t="array" ref="H378">VALUE(INDEX(_xlfn.TEXTSPLIT(Table1[[#This Row],[Item]], "-"), 7))</f>
        <v>0</v>
      </c>
      <c r="I37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78" s="1" t="str">
        <f>LEFT(RIGHT(Table1[[#This Row],[Item]],6),1)</f>
        <v>N</v>
      </c>
      <c r="K378" s="1" t="str">
        <f t="shared" si="6"/>
        <v>N</v>
      </c>
      <c r="L378" s="1" t="str">
        <f>RIGHT(Table1[[#This Row],[Item]],2)</f>
        <v>BR</v>
      </c>
      <c r="M378" s="1" t="s">
        <v>33</v>
      </c>
      <c r="N378" s="3" t="s">
        <v>397</v>
      </c>
      <c r="O378" s="1"/>
    </row>
    <row r="379" spans="1:15" ht="15" customHeight="1">
      <c r="A379" t="s">
        <v>398</v>
      </c>
      <c r="B379" s="1" t="str">
        <f>LEFT(Table1[[#This Row],[Item]], FIND("-", Table1[[#This Row],[Item]]) - 1)</f>
        <v>GX08</v>
      </c>
      <c r="C379" s="1" t="str">
        <f>MID(LEFT(Table1[[#This Row],[Item]], FIND("{token}", SUBSTITUTE(Table1[[#This Row],[Item]], "-", "{token}", 2)) - 1), FIND("-", Table1[[#This Row],[Item]]) + 1, LEN(Table1[[#This Row],[Item]]))</f>
        <v>R</v>
      </c>
      <c r="D37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7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79" s="1" cm="1">
        <f t="array" ref="F379">VALUE(INDEX(_xlfn.TEXTSPLIT(Table1[[#This Row],[Item]], "-"), 5))</f>
        <v>0</v>
      </c>
      <c r="G379" s="1" cm="1">
        <f t="array" ref="G379">VALUE(INDEX(_xlfn.TEXTSPLIT(Table1[[#This Row],[Item]], "-"), 6))</f>
        <v>1</v>
      </c>
      <c r="H379" s="1" cm="1">
        <f t="array" ref="H379">VALUE(INDEX(_xlfn.TEXTSPLIT(Table1[[#This Row],[Item]], "-"), 7))</f>
        <v>0</v>
      </c>
      <c r="I37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79" s="1" t="str">
        <f>LEFT(RIGHT(Table1[[#This Row],[Item]],6),1)</f>
        <v>N</v>
      </c>
      <c r="K379" s="1" t="str">
        <f t="shared" si="6"/>
        <v>N</v>
      </c>
      <c r="L379" s="1" t="str">
        <f>RIGHT(Table1[[#This Row],[Item]],2)</f>
        <v>BR</v>
      </c>
      <c r="M379" s="1" t="s">
        <v>33</v>
      </c>
      <c r="N379" s="3" t="s">
        <v>398</v>
      </c>
      <c r="O379" s="1"/>
    </row>
    <row r="380" spans="1:15" ht="15" customHeight="1">
      <c r="A380" t="s">
        <v>399</v>
      </c>
      <c r="B380" s="1" t="str">
        <f>LEFT(Table1[[#This Row],[Item]], FIND("-", Table1[[#This Row],[Item]]) - 1)</f>
        <v>GX08</v>
      </c>
      <c r="C380" s="1" t="str">
        <f>MID(LEFT(Table1[[#This Row],[Item]], FIND("{token}", SUBSTITUTE(Table1[[#This Row],[Item]], "-", "{token}", 2)) - 1), FIND("-", Table1[[#This Row],[Item]]) + 1, LEN(Table1[[#This Row],[Item]]))</f>
        <v>R</v>
      </c>
      <c r="D38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8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80" s="1" cm="1">
        <f t="array" ref="F380">VALUE(INDEX(_xlfn.TEXTSPLIT(Table1[[#This Row],[Item]], "-"), 5))</f>
        <v>0</v>
      </c>
      <c r="G380" s="1" cm="1">
        <f t="array" ref="G380">VALUE(INDEX(_xlfn.TEXTSPLIT(Table1[[#This Row],[Item]], "-"), 6))</f>
        <v>2</v>
      </c>
      <c r="H380" s="1" cm="1">
        <f t="array" ref="H380">VALUE(INDEX(_xlfn.TEXTSPLIT(Table1[[#This Row],[Item]], "-"), 7))</f>
        <v>0</v>
      </c>
      <c r="I38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80" s="1" t="str">
        <f>LEFT(RIGHT(Table1[[#This Row],[Item]],6),1)</f>
        <v>N</v>
      </c>
      <c r="K380" s="1" t="str">
        <f t="shared" si="6"/>
        <v>N</v>
      </c>
      <c r="L380" s="1" t="str">
        <f>RIGHT(Table1[[#This Row],[Item]],2)</f>
        <v>BR</v>
      </c>
      <c r="M380" s="1" t="s">
        <v>33</v>
      </c>
      <c r="N380" s="3" t="s">
        <v>399</v>
      </c>
      <c r="O380" s="1"/>
    </row>
    <row r="381" spans="1:15" ht="15" customHeight="1">
      <c r="A381" t="s">
        <v>400</v>
      </c>
      <c r="B381" s="1" t="str">
        <f>LEFT(Table1[[#This Row],[Item]], FIND("-", Table1[[#This Row],[Item]]) - 1)</f>
        <v>GX08</v>
      </c>
      <c r="C381" s="1" t="str">
        <f>MID(LEFT(Table1[[#This Row],[Item]], FIND("{token}", SUBSTITUTE(Table1[[#This Row],[Item]], "-", "{token}", 2)) - 1), FIND("-", Table1[[#This Row],[Item]]) + 1, LEN(Table1[[#This Row],[Item]]))</f>
        <v>R</v>
      </c>
      <c r="D38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8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81" s="1" cm="1">
        <f t="array" ref="F381">VALUE(INDEX(_xlfn.TEXTSPLIT(Table1[[#This Row],[Item]], "-"), 5))</f>
        <v>1</v>
      </c>
      <c r="G381" s="1" cm="1">
        <f t="array" ref="G381">VALUE(INDEX(_xlfn.TEXTSPLIT(Table1[[#This Row],[Item]], "-"), 6))</f>
        <v>1</v>
      </c>
      <c r="H381" s="1" cm="1">
        <f t="array" ref="H381">VALUE(INDEX(_xlfn.TEXTSPLIT(Table1[[#This Row],[Item]], "-"), 7))</f>
        <v>0</v>
      </c>
      <c r="I38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81" s="1" t="str">
        <f>LEFT(RIGHT(Table1[[#This Row],[Item]],6),1)</f>
        <v>N</v>
      </c>
      <c r="K381" s="1" t="str">
        <f t="shared" si="6"/>
        <v>N</v>
      </c>
      <c r="L381" s="1" t="str">
        <f>RIGHT(Table1[[#This Row],[Item]],2)</f>
        <v>BR</v>
      </c>
      <c r="M381" s="1" t="s">
        <v>33</v>
      </c>
      <c r="N381" s="3" t="s">
        <v>400</v>
      </c>
      <c r="O381" s="1"/>
    </row>
    <row r="382" spans="1:15" ht="15" customHeight="1">
      <c r="A382" t="s">
        <v>401</v>
      </c>
      <c r="B382" s="1" t="str">
        <f>LEFT(Table1[[#This Row],[Item]], FIND("-", Table1[[#This Row],[Item]]) - 1)</f>
        <v>GX08</v>
      </c>
      <c r="C382" s="1" t="str">
        <f>MID(LEFT(Table1[[#This Row],[Item]], FIND("{token}", SUBSTITUTE(Table1[[#This Row],[Item]], "-", "{token}", 2)) - 1), FIND("-", Table1[[#This Row],[Item]]) + 1, LEN(Table1[[#This Row],[Item]]))</f>
        <v>R</v>
      </c>
      <c r="D382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38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82" s="1" cm="1">
        <f t="array" ref="F382">VALUE(INDEX(_xlfn.TEXTSPLIT(Table1[[#This Row],[Item]], "-"), 5))</f>
        <v>1</v>
      </c>
      <c r="G382" s="1" cm="1">
        <f t="array" ref="G382">VALUE(INDEX(_xlfn.TEXTSPLIT(Table1[[#This Row],[Item]], "-"), 6))</f>
        <v>1</v>
      </c>
      <c r="H382" s="1" cm="1">
        <f t="array" ref="H382">VALUE(INDEX(_xlfn.TEXTSPLIT(Table1[[#This Row],[Item]], "-"), 7))</f>
        <v>0</v>
      </c>
      <c r="I38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82" s="1" t="str">
        <f>LEFT(RIGHT(Table1[[#This Row],[Item]],6),1)</f>
        <v>N</v>
      </c>
      <c r="K382" s="1" t="str">
        <f t="shared" si="6"/>
        <v>N</v>
      </c>
      <c r="L382" s="1" t="str">
        <f>RIGHT(Table1[[#This Row],[Item]],2)</f>
        <v>BR</v>
      </c>
      <c r="M382" s="1" t="s">
        <v>33</v>
      </c>
      <c r="N382" s="3" t="s">
        <v>401</v>
      </c>
      <c r="O382" s="1"/>
    </row>
    <row r="383" spans="1:15" ht="15" customHeight="1">
      <c r="A383" t="s">
        <v>402</v>
      </c>
      <c r="B383" s="1" t="str">
        <f>LEFT(Table1[[#This Row],[Item]], FIND("-", Table1[[#This Row],[Item]]) - 1)</f>
        <v>GX08</v>
      </c>
      <c r="C383" s="1" t="str">
        <f>MID(LEFT(Table1[[#This Row],[Item]], FIND("{token}", SUBSTITUTE(Table1[[#This Row],[Item]], "-", "{token}", 2)) - 1), FIND("-", Table1[[#This Row],[Item]]) + 1, LEN(Table1[[#This Row],[Item]]))</f>
        <v>R</v>
      </c>
      <c r="D38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8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83" s="1" cm="1">
        <f t="array" ref="F383">VALUE(INDEX(_xlfn.TEXTSPLIT(Table1[[#This Row],[Item]], "-"), 5))</f>
        <v>0</v>
      </c>
      <c r="G383" s="1" cm="1">
        <f t="array" ref="G383">VALUE(INDEX(_xlfn.TEXTSPLIT(Table1[[#This Row],[Item]], "-"), 6))</f>
        <v>0</v>
      </c>
      <c r="H383" s="1" cm="1">
        <f t="array" ref="H383">VALUE(INDEX(_xlfn.TEXTSPLIT(Table1[[#This Row],[Item]], "-"), 7))</f>
        <v>0</v>
      </c>
      <c r="I38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83" s="1" t="str">
        <f>LEFT(RIGHT(Table1[[#This Row],[Item]],6),1)</f>
        <v>N</v>
      </c>
      <c r="K383" s="1" t="str">
        <f t="shared" si="6"/>
        <v>N</v>
      </c>
      <c r="L383" s="1" t="str">
        <f>RIGHT(Table1[[#This Row],[Item]],2)</f>
        <v>BR</v>
      </c>
      <c r="M383" s="1" t="s">
        <v>33</v>
      </c>
      <c r="N383" s="3" t="s">
        <v>402</v>
      </c>
      <c r="O383" s="1"/>
    </row>
    <row r="384" spans="1:15" ht="15" customHeight="1">
      <c r="A384" t="s">
        <v>403</v>
      </c>
      <c r="B384" s="1" t="str">
        <f>LEFT(Table1[[#This Row],[Item]], FIND("-", Table1[[#This Row],[Item]]) - 1)</f>
        <v>GX08</v>
      </c>
      <c r="C384" s="1" t="str">
        <f>MID(LEFT(Table1[[#This Row],[Item]], FIND("{token}", SUBSTITUTE(Table1[[#This Row],[Item]], "-", "{token}", 2)) - 1), FIND("-", Table1[[#This Row],[Item]]) + 1, LEN(Table1[[#This Row],[Item]]))</f>
        <v>R</v>
      </c>
      <c r="D38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8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84" s="1" cm="1">
        <f t="array" ref="F384">VALUE(INDEX(_xlfn.TEXTSPLIT(Table1[[#This Row],[Item]], "-"), 5))</f>
        <v>1</v>
      </c>
      <c r="G384" s="1" cm="1">
        <f t="array" ref="G384">VALUE(INDEX(_xlfn.TEXTSPLIT(Table1[[#This Row],[Item]], "-"), 6))</f>
        <v>0</v>
      </c>
      <c r="H384" s="1" cm="1">
        <f t="array" ref="H384">VALUE(INDEX(_xlfn.TEXTSPLIT(Table1[[#This Row],[Item]], "-"), 7))</f>
        <v>0</v>
      </c>
      <c r="I38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84" s="1" t="str">
        <f>LEFT(RIGHT(Table1[[#This Row],[Item]],6),1)</f>
        <v>N</v>
      </c>
      <c r="K384" s="1" t="str">
        <f t="shared" si="6"/>
        <v>N</v>
      </c>
      <c r="L384" s="1" t="str">
        <f>RIGHT(Table1[[#This Row],[Item]],2)</f>
        <v>BR</v>
      </c>
      <c r="M384" s="1" t="s">
        <v>33</v>
      </c>
      <c r="N384" s="3" t="s">
        <v>403</v>
      </c>
      <c r="O384" s="1"/>
    </row>
    <row r="385" spans="1:15" ht="15" customHeight="1">
      <c r="A385" t="s">
        <v>404</v>
      </c>
      <c r="B385" s="1" t="str">
        <f>LEFT(Table1[[#This Row],[Item]], FIND("-", Table1[[#This Row],[Item]]) - 1)</f>
        <v>GX08</v>
      </c>
      <c r="C385" s="1" t="str">
        <f>MID(LEFT(Table1[[#This Row],[Item]], FIND("{token}", SUBSTITUTE(Table1[[#This Row],[Item]], "-", "{token}", 2)) - 1), FIND("-", Table1[[#This Row],[Item]]) + 1, LEN(Table1[[#This Row],[Item]]))</f>
        <v>R</v>
      </c>
      <c r="D38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8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85" s="1" cm="1">
        <f t="array" ref="F385">VALUE(INDEX(_xlfn.TEXTSPLIT(Table1[[#This Row],[Item]], "-"), 5))</f>
        <v>1</v>
      </c>
      <c r="G385" s="1" cm="1">
        <f t="array" ref="G385">VALUE(INDEX(_xlfn.TEXTSPLIT(Table1[[#This Row],[Item]], "-"), 6))</f>
        <v>1</v>
      </c>
      <c r="H385" s="1" cm="1">
        <f t="array" ref="H385">VALUE(INDEX(_xlfn.TEXTSPLIT(Table1[[#This Row],[Item]], "-"), 7))</f>
        <v>0</v>
      </c>
      <c r="I38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85" s="1" t="str">
        <f>LEFT(RIGHT(Table1[[#This Row],[Item]],6),1)</f>
        <v>N</v>
      </c>
      <c r="K385" s="1" t="str">
        <f t="shared" si="6"/>
        <v>N</v>
      </c>
      <c r="L385" s="1" t="str">
        <f>RIGHT(Table1[[#This Row],[Item]],2)</f>
        <v>BR</v>
      </c>
      <c r="M385" s="1" t="s">
        <v>33</v>
      </c>
      <c r="N385" s="3" t="s">
        <v>404</v>
      </c>
      <c r="O385" s="1"/>
    </row>
    <row r="386" spans="1:15" ht="15" customHeight="1">
      <c r="A386" t="s">
        <v>405</v>
      </c>
      <c r="B386" s="1" t="str">
        <f>LEFT(Table1[[#This Row],[Item]], FIND("-", Table1[[#This Row],[Item]]) - 1)</f>
        <v>GX08</v>
      </c>
      <c r="C386" s="1" t="str">
        <f>MID(LEFT(Table1[[#This Row],[Item]], FIND("{token}", SUBSTITUTE(Table1[[#This Row],[Item]], "-", "{token}", 2)) - 1), FIND("-", Table1[[#This Row],[Item]]) + 1, LEN(Table1[[#This Row],[Item]]))</f>
        <v>R</v>
      </c>
      <c r="D386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38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86" s="1" cm="1">
        <f t="array" ref="F386">VALUE(INDEX(_xlfn.TEXTSPLIT(Table1[[#This Row],[Item]], "-"), 5))</f>
        <v>1</v>
      </c>
      <c r="G386" s="1" cm="1">
        <f t="array" ref="G386">VALUE(INDEX(_xlfn.TEXTSPLIT(Table1[[#This Row],[Item]], "-"), 6))</f>
        <v>1</v>
      </c>
      <c r="H386" s="1" cm="1">
        <f t="array" ref="H386">VALUE(INDEX(_xlfn.TEXTSPLIT(Table1[[#This Row],[Item]], "-"), 7))</f>
        <v>0</v>
      </c>
      <c r="I38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86" s="1" t="str">
        <f>LEFT(RIGHT(Table1[[#This Row],[Item]],6),1)</f>
        <v>N</v>
      </c>
      <c r="K386" s="1" t="str">
        <f t="shared" si="6"/>
        <v>N</v>
      </c>
      <c r="L386" s="1" t="str">
        <f>RIGHT(Table1[[#This Row],[Item]],2)</f>
        <v>BR</v>
      </c>
      <c r="M386" s="1" t="s">
        <v>33</v>
      </c>
      <c r="N386" s="3" t="s">
        <v>405</v>
      </c>
      <c r="O386" s="1"/>
    </row>
    <row r="387" spans="1:15" ht="15" customHeight="1">
      <c r="A387" t="s">
        <v>406</v>
      </c>
      <c r="B387" s="1" t="str">
        <f>LEFT(Table1[[#This Row],[Item]], FIND("-", Table1[[#This Row],[Item]]) - 1)</f>
        <v>GX08</v>
      </c>
      <c r="C387" s="1" t="str">
        <f>MID(LEFT(Table1[[#This Row],[Item]], FIND("{token}", SUBSTITUTE(Table1[[#This Row],[Item]], "-", "{token}", 2)) - 1), FIND("-", Table1[[#This Row],[Item]]) + 1, LEN(Table1[[#This Row],[Item]]))</f>
        <v>RXL</v>
      </c>
      <c r="D38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8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387" s="1" cm="1">
        <f t="array" ref="F387">VALUE(INDEX(_xlfn.TEXTSPLIT(Table1[[#This Row],[Item]], "-"), 5))</f>
        <v>1</v>
      </c>
      <c r="G387" s="1" cm="1">
        <f t="array" ref="G387">VALUE(INDEX(_xlfn.TEXTSPLIT(Table1[[#This Row],[Item]], "-"), 6))</f>
        <v>0</v>
      </c>
      <c r="H387" s="1" cm="1">
        <f t="array" ref="H387">VALUE(INDEX(_xlfn.TEXTSPLIT(Table1[[#This Row],[Item]], "-"), 7))</f>
        <v>1</v>
      </c>
      <c r="I38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87" s="1" t="str">
        <f>LEFT(RIGHT(Table1[[#This Row],[Item]],6),1)</f>
        <v>N</v>
      </c>
      <c r="K387" s="1" t="str">
        <f t="shared" si="6"/>
        <v>N</v>
      </c>
      <c r="L387" s="1" t="str">
        <f>RIGHT(Table1[[#This Row],[Item]],2)</f>
        <v>BR</v>
      </c>
      <c r="M387" s="1" t="s">
        <v>33</v>
      </c>
      <c r="N387" s="3" t="s">
        <v>406</v>
      </c>
      <c r="O387" s="1"/>
    </row>
    <row r="388" spans="1:15" ht="15" customHeight="1">
      <c r="A388" t="s">
        <v>407</v>
      </c>
      <c r="B388" s="1" t="str">
        <f>LEFT(Table1[[#This Row],[Item]], FIND("-", Table1[[#This Row],[Item]]) - 1)</f>
        <v>GX08</v>
      </c>
      <c r="C388" s="1" t="str">
        <f>MID(LEFT(Table1[[#This Row],[Item]], FIND("{token}", SUBSTITUTE(Table1[[#This Row],[Item]], "-", "{token}", 2)) - 1), FIND("-", Table1[[#This Row],[Item]]) + 1, LEN(Table1[[#This Row],[Item]]))</f>
        <v>RXL</v>
      </c>
      <c r="D38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8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388" s="1" cm="1">
        <f t="array" ref="F388">VALUE(INDEX(_xlfn.TEXTSPLIT(Table1[[#This Row],[Item]], "-"), 5))</f>
        <v>1</v>
      </c>
      <c r="G388" s="1" cm="1">
        <f t="array" ref="G388">VALUE(INDEX(_xlfn.TEXTSPLIT(Table1[[#This Row],[Item]], "-"), 6))</f>
        <v>1</v>
      </c>
      <c r="H388" s="1" cm="1">
        <f t="array" ref="H388">VALUE(INDEX(_xlfn.TEXTSPLIT(Table1[[#This Row],[Item]], "-"), 7))</f>
        <v>0</v>
      </c>
      <c r="I38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88" s="1" t="str">
        <f>LEFT(RIGHT(Table1[[#This Row],[Item]],6),1)</f>
        <v>N</v>
      </c>
      <c r="K388" s="1" t="str">
        <f t="shared" si="6"/>
        <v>N</v>
      </c>
      <c r="L388" s="1" t="str">
        <f>RIGHT(Table1[[#This Row],[Item]],2)</f>
        <v>BR</v>
      </c>
      <c r="M388" s="1" t="s">
        <v>33</v>
      </c>
      <c r="N388" s="3" t="s">
        <v>407</v>
      </c>
      <c r="O388" s="1"/>
    </row>
    <row r="389" spans="1:15" ht="15" customHeight="1">
      <c r="A389" t="s">
        <v>408</v>
      </c>
      <c r="B389" s="1" t="str">
        <f>LEFT(Table1[[#This Row],[Item]], FIND("-", Table1[[#This Row],[Item]]) - 1)</f>
        <v>GX08</v>
      </c>
      <c r="C389" s="1" t="str">
        <f>MID(LEFT(Table1[[#This Row],[Item]], FIND("{token}", SUBSTITUTE(Table1[[#This Row],[Item]], "-", "{token}", 2)) - 1), FIND("-", Table1[[#This Row],[Item]]) + 1, LEN(Table1[[#This Row],[Item]]))</f>
        <v>RXL</v>
      </c>
      <c r="D38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8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389" s="1" cm="1">
        <f t="array" ref="F389">VALUE(INDEX(_xlfn.TEXTSPLIT(Table1[[#This Row],[Item]], "-"), 5))</f>
        <v>1</v>
      </c>
      <c r="G389" s="1" cm="1">
        <f t="array" ref="G389">VALUE(INDEX(_xlfn.TEXTSPLIT(Table1[[#This Row],[Item]], "-"), 6))</f>
        <v>1</v>
      </c>
      <c r="H389" s="1" cm="1">
        <f t="array" ref="H389">VALUE(INDEX(_xlfn.TEXTSPLIT(Table1[[#This Row],[Item]], "-"), 7))</f>
        <v>1</v>
      </c>
      <c r="I38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89" s="1" t="str">
        <f>LEFT(RIGHT(Table1[[#This Row],[Item]],6),1)</f>
        <v>N</v>
      </c>
      <c r="K389" s="1" t="str">
        <f t="shared" si="6"/>
        <v>N</v>
      </c>
      <c r="L389" s="1" t="str">
        <f>RIGHT(Table1[[#This Row],[Item]],2)</f>
        <v>BR</v>
      </c>
      <c r="M389" s="1" t="s">
        <v>33</v>
      </c>
      <c r="N389" s="3" t="s">
        <v>408</v>
      </c>
      <c r="O389" s="1"/>
    </row>
    <row r="390" spans="1:15" ht="15" customHeight="1">
      <c r="A390" t="s">
        <v>409</v>
      </c>
      <c r="B390" s="1" t="str">
        <f>LEFT(Table1[[#This Row],[Item]], FIND("-", Table1[[#This Row],[Item]]) - 1)</f>
        <v>GX08</v>
      </c>
      <c r="C390" s="1" t="str">
        <f>MID(LEFT(Table1[[#This Row],[Item]], FIND("{token}", SUBSTITUTE(Table1[[#This Row],[Item]], "-", "{token}", 2)) - 1), FIND("-", Table1[[#This Row],[Item]]) + 1, LEN(Table1[[#This Row],[Item]]))</f>
        <v>RXL</v>
      </c>
      <c r="D39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9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90" s="1" cm="1">
        <f t="array" ref="F390">VALUE(INDEX(_xlfn.TEXTSPLIT(Table1[[#This Row],[Item]], "-"), 5))</f>
        <v>1</v>
      </c>
      <c r="G390" s="1" cm="1">
        <f t="array" ref="G390">VALUE(INDEX(_xlfn.TEXTSPLIT(Table1[[#This Row],[Item]], "-"), 6))</f>
        <v>0</v>
      </c>
      <c r="H390" s="1" cm="1">
        <f t="array" ref="H390">VALUE(INDEX(_xlfn.TEXTSPLIT(Table1[[#This Row],[Item]], "-"), 7))</f>
        <v>1</v>
      </c>
      <c r="I39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90" s="1" t="str">
        <f>LEFT(RIGHT(Table1[[#This Row],[Item]],6),1)</f>
        <v>N</v>
      </c>
      <c r="K390" s="1" t="str">
        <f t="shared" si="6"/>
        <v>N</v>
      </c>
      <c r="L390" s="1" t="str">
        <f>RIGHT(Table1[[#This Row],[Item]],2)</f>
        <v>BR</v>
      </c>
      <c r="M390" s="1" t="s">
        <v>33</v>
      </c>
      <c r="N390" s="3" t="s">
        <v>409</v>
      </c>
      <c r="O390" s="1"/>
    </row>
    <row r="391" spans="1:15" ht="15" customHeight="1">
      <c r="A391" t="s">
        <v>410</v>
      </c>
      <c r="B391" s="1" t="str">
        <f>LEFT(Table1[[#This Row],[Item]], FIND("-", Table1[[#This Row],[Item]]) - 1)</f>
        <v>GX08</v>
      </c>
      <c r="C391" s="1" t="str">
        <f>MID(LEFT(Table1[[#This Row],[Item]], FIND("{token}", SUBSTITUTE(Table1[[#This Row],[Item]], "-", "{token}", 2)) - 1), FIND("-", Table1[[#This Row],[Item]]) + 1, LEN(Table1[[#This Row],[Item]]))</f>
        <v>RXL</v>
      </c>
      <c r="D39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9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91" s="1" cm="1">
        <f t="array" ref="F391">VALUE(INDEX(_xlfn.TEXTSPLIT(Table1[[#This Row],[Item]], "-"), 5))</f>
        <v>1</v>
      </c>
      <c r="G391" s="1" cm="1">
        <f t="array" ref="G391">VALUE(INDEX(_xlfn.TEXTSPLIT(Table1[[#This Row],[Item]], "-"), 6))</f>
        <v>1</v>
      </c>
      <c r="H391" s="1" cm="1">
        <f t="array" ref="H391">VALUE(INDEX(_xlfn.TEXTSPLIT(Table1[[#This Row],[Item]], "-"), 7))</f>
        <v>0</v>
      </c>
      <c r="I39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91" s="1" t="str">
        <f>LEFT(RIGHT(Table1[[#This Row],[Item]],6),1)</f>
        <v>N</v>
      </c>
      <c r="K391" s="1" t="str">
        <f t="shared" si="6"/>
        <v>N</v>
      </c>
      <c r="L391" s="1" t="str">
        <f>RIGHT(Table1[[#This Row],[Item]],2)</f>
        <v>BR</v>
      </c>
      <c r="M391" s="1" t="s">
        <v>33</v>
      </c>
      <c r="N391" s="3" t="s">
        <v>410</v>
      </c>
      <c r="O391" s="1"/>
    </row>
    <row r="392" spans="1:15" ht="15" customHeight="1">
      <c r="A392" t="s">
        <v>411</v>
      </c>
      <c r="B392" s="1" t="str">
        <f>LEFT(Table1[[#This Row],[Item]], FIND("-", Table1[[#This Row],[Item]]) - 1)</f>
        <v>GX08</v>
      </c>
      <c r="C392" s="1" t="str">
        <f>MID(LEFT(Table1[[#This Row],[Item]], FIND("{token}", SUBSTITUTE(Table1[[#This Row],[Item]], "-", "{token}", 2)) - 1), FIND("-", Table1[[#This Row],[Item]]) + 1, LEN(Table1[[#This Row],[Item]]))</f>
        <v>RXL</v>
      </c>
      <c r="D392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9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92" s="1" cm="1">
        <f t="array" ref="F392">VALUE(INDEX(_xlfn.TEXTSPLIT(Table1[[#This Row],[Item]], "-"), 5))</f>
        <v>1</v>
      </c>
      <c r="G392" s="1" cm="1">
        <f t="array" ref="G392">VALUE(INDEX(_xlfn.TEXTSPLIT(Table1[[#This Row],[Item]], "-"), 6))</f>
        <v>1</v>
      </c>
      <c r="H392" s="1" cm="1">
        <f t="array" ref="H392">VALUE(INDEX(_xlfn.TEXTSPLIT(Table1[[#This Row],[Item]], "-"), 7))</f>
        <v>1</v>
      </c>
      <c r="I39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92" s="1" t="str">
        <f>LEFT(RIGHT(Table1[[#This Row],[Item]],6),1)</f>
        <v>N</v>
      </c>
      <c r="K392" s="1" t="str">
        <f t="shared" si="6"/>
        <v>N</v>
      </c>
      <c r="L392" s="1" t="str">
        <f>RIGHT(Table1[[#This Row],[Item]],2)</f>
        <v>BR</v>
      </c>
      <c r="M392" s="1" t="s">
        <v>33</v>
      </c>
      <c r="N392" s="3" t="s">
        <v>411</v>
      </c>
      <c r="O392" s="1"/>
    </row>
    <row r="393" spans="1:15" ht="15" customHeight="1">
      <c r="A393" t="s">
        <v>412</v>
      </c>
      <c r="B393" s="1" t="str">
        <f>LEFT(Table1[[#This Row],[Item]], FIND("-", Table1[[#This Row],[Item]]) - 1)</f>
        <v>GX08</v>
      </c>
      <c r="C393" s="1" t="str">
        <f>MID(LEFT(Table1[[#This Row],[Item]], FIND("{token}", SUBSTITUTE(Table1[[#This Row],[Item]], "-", "{token}", 2)) - 1), FIND("-", Table1[[#This Row],[Item]]) + 1, LEN(Table1[[#This Row],[Item]]))</f>
        <v>RXL</v>
      </c>
      <c r="D39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9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393" s="1" cm="1">
        <f t="array" ref="F393">VALUE(INDEX(_xlfn.TEXTSPLIT(Table1[[#This Row],[Item]], "-"), 5))</f>
        <v>1</v>
      </c>
      <c r="G393" s="1" cm="1">
        <f t="array" ref="G393">VALUE(INDEX(_xlfn.TEXTSPLIT(Table1[[#This Row],[Item]], "-"), 6))</f>
        <v>1</v>
      </c>
      <c r="H393" s="1" cm="1">
        <f t="array" ref="H393">VALUE(INDEX(_xlfn.TEXTSPLIT(Table1[[#This Row],[Item]], "-"), 7))</f>
        <v>0</v>
      </c>
      <c r="I39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93" s="1" t="str">
        <f>LEFT(RIGHT(Table1[[#This Row],[Item]],6),1)</f>
        <v>N</v>
      </c>
      <c r="K393" s="1" t="str">
        <f t="shared" si="6"/>
        <v>N</v>
      </c>
      <c r="L393" s="1" t="str">
        <f>RIGHT(Table1[[#This Row],[Item]],2)</f>
        <v>BR</v>
      </c>
      <c r="M393" s="1" t="s">
        <v>33</v>
      </c>
      <c r="N393" s="3" t="s">
        <v>412</v>
      </c>
      <c r="O393" s="1"/>
    </row>
    <row r="394" spans="1:15" ht="15" customHeight="1">
      <c r="A394" t="s">
        <v>413</v>
      </c>
      <c r="B394" s="1" t="str">
        <f>LEFT(Table1[[#This Row],[Item]], FIND("-", Table1[[#This Row],[Item]]) - 1)</f>
        <v>GX08</v>
      </c>
      <c r="C394" s="1" t="str">
        <f>MID(LEFT(Table1[[#This Row],[Item]], FIND("{token}", SUBSTITUTE(Table1[[#This Row],[Item]], "-", "{token}", 2)) - 1), FIND("-", Table1[[#This Row],[Item]]) + 1, LEN(Table1[[#This Row],[Item]]))</f>
        <v>RXL</v>
      </c>
      <c r="D39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9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394" s="1" cm="1">
        <f t="array" ref="F394">VALUE(INDEX(_xlfn.TEXTSPLIT(Table1[[#This Row],[Item]], "-"), 5))</f>
        <v>1</v>
      </c>
      <c r="G394" s="1" cm="1">
        <f t="array" ref="G394">VALUE(INDEX(_xlfn.TEXTSPLIT(Table1[[#This Row],[Item]], "-"), 6))</f>
        <v>1</v>
      </c>
      <c r="H394" s="1" cm="1">
        <f t="array" ref="H394">VALUE(INDEX(_xlfn.TEXTSPLIT(Table1[[#This Row],[Item]], "-"), 7))</f>
        <v>1</v>
      </c>
      <c r="I39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94" s="1" t="str">
        <f>LEFT(RIGHT(Table1[[#This Row],[Item]],6),1)</f>
        <v>N</v>
      </c>
      <c r="K394" s="1" t="str">
        <f t="shared" si="6"/>
        <v>N</v>
      </c>
      <c r="L394" s="1" t="str">
        <f>RIGHT(Table1[[#This Row],[Item]],2)</f>
        <v>BR</v>
      </c>
      <c r="M394" s="1" t="s">
        <v>33</v>
      </c>
      <c r="N394" s="3" t="s">
        <v>413</v>
      </c>
      <c r="O394" s="1"/>
    </row>
    <row r="395" spans="1:15" ht="15" customHeight="1">
      <c r="A395" t="s">
        <v>414</v>
      </c>
      <c r="B395" s="1" t="str">
        <f>LEFT(Table1[[#This Row],[Item]], FIND("-", Table1[[#This Row],[Item]]) - 1)</f>
        <v>GX08</v>
      </c>
      <c r="C395" s="1" t="str">
        <f>MID(LEFT(Table1[[#This Row],[Item]], FIND("{token}", SUBSTITUTE(Table1[[#This Row],[Item]], "-", "{token}", 2)) - 1), FIND("-", Table1[[#This Row],[Item]]) + 1, LEN(Table1[[#This Row],[Item]]))</f>
        <v>RXL</v>
      </c>
      <c r="D39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9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95" s="1" cm="1">
        <f t="array" ref="F395">VALUE(INDEX(_xlfn.TEXTSPLIT(Table1[[#This Row],[Item]], "-"), 5))</f>
        <v>1</v>
      </c>
      <c r="G395" s="1" cm="1">
        <f t="array" ref="G395">VALUE(INDEX(_xlfn.TEXTSPLIT(Table1[[#This Row],[Item]], "-"), 6))</f>
        <v>0</v>
      </c>
      <c r="H395" s="1" cm="1">
        <f t="array" ref="H395">VALUE(INDEX(_xlfn.TEXTSPLIT(Table1[[#This Row],[Item]], "-"), 7))</f>
        <v>1</v>
      </c>
      <c r="I39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95" s="1" t="str">
        <f>LEFT(RIGHT(Table1[[#This Row],[Item]],6),1)</f>
        <v>N</v>
      </c>
      <c r="K395" s="1" t="str">
        <f t="shared" si="6"/>
        <v>N</v>
      </c>
      <c r="L395" s="1" t="str">
        <f>RIGHT(Table1[[#This Row],[Item]],2)</f>
        <v>BR</v>
      </c>
      <c r="M395" s="1" t="s">
        <v>33</v>
      </c>
      <c r="N395" s="3" t="s">
        <v>414</v>
      </c>
      <c r="O395" s="1"/>
    </row>
    <row r="396" spans="1:15" ht="15" customHeight="1">
      <c r="A396" t="s">
        <v>415</v>
      </c>
      <c r="B396" s="1" t="str">
        <f>LEFT(Table1[[#This Row],[Item]], FIND("-", Table1[[#This Row],[Item]]) - 1)</f>
        <v>GX08</v>
      </c>
      <c r="C396" s="1" t="str">
        <f>MID(LEFT(Table1[[#This Row],[Item]], FIND("{token}", SUBSTITUTE(Table1[[#This Row],[Item]], "-", "{token}", 2)) - 1), FIND("-", Table1[[#This Row],[Item]]) + 1, LEN(Table1[[#This Row],[Item]]))</f>
        <v>RXL</v>
      </c>
      <c r="D39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9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96" s="1" cm="1">
        <f t="array" ref="F396">VALUE(INDEX(_xlfn.TEXTSPLIT(Table1[[#This Row],[Item]], "-"), 5))</f>
        <v>1</v>
      </c>
      <c r="G396" s="1" cm="1">
        <f t="array" ref="G396">VALUE(INDEX(_xlfn.TEXTSPLIT(Table1[[#This Row],[Item]], "-"), 6))</f>
        <v>1</v>
      </c>
      <c r="H396" s="1" cm="1">
        <f t="array" ref="H396">VALUE(INDEX(_xlfn.TEXTSPLIT(Table1[[#This Row],[Item]], "-"), 7))</f>
        <v>0</v>
      </c>
      <c r="I39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96" s="1" t="str">
        <f>LEFT(RIGHT(Table1[[#This Row],[Item]],6),1)</f>
        <v>N</v>
      </c>
      <c r="K396" s="1" t="str">
        <f t="shared" si="6"/>
        <v>N</v>
      </c>
      <c r="L396" s="1" t="str">
        <f>RIGHT(Table1[[#This Row],[Item]],2)</f>
        <v>BR</v>
      </c>
      <c r="M396" s="1" t="s">
        <v>33</v>
      </c>
      <c r="N396" s="3" t="s">
        <v>415</v>
      </c>
      <c r="O396" s="1"/>
    </row>
    <row r="397" spans="1:15" ht="15" customHeight="1">
      <c r="A397" t="s">
        <v>416</v>
      </c>
      <c r="B397" s="1" t="str">
        <f>LEFT(Table1[[#This Row],[Item]], FIND("-", Table1[[#This Row],[Item]]) - 1)</f>
        <v>GX08</v>
      </c>
      <c r="C397" s="1" t="str">
        <f>MID(LEFT(Table1[[#This Row],[Item]], FIND("{token}", SUBSTITUTE(Table1[[#This Row],[Item]], "-", "{token}", 2)) - 1), FIND("-", Table1[[#This Row],[Item]]) + 1, LEN(Table1[[#This Row],[Item]]))</f>
        <v>RXL</v>
      </c>
      <c r="D39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39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97" s="1" cm="1">
        <f t="array" ref="F397">VALUE(INDEX(_xlfn.TEXTSPLIT(Table1[[#This Row],[Item]], "-"), 5))</f>
        <v>1</v>
      </c>
      <c r="G397" s="1" cm="1">
        <f t="array" ref="G397">VALUE(INDEX(_xlfn.TEXTSPLIT(Table1[[#This Row],[Item]], "-"), 6))</f>
        <v>1</v>
      </c>
      <c r="H397" s="1" cm="1">
        <f t="array" ref="H397">VALUE(INDEX(_xlfn.TEXTSPLIT(Table1[[#This Row],[Item]], "-"), 7))</f>
        <v>1</v>
      </c>
      <c r="I39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97" s="1" t="str">
        <f>LEFT(RIGHT(Table1[[#This Row],[Item]],6),1)</f>
        <v>N</v>
      </c>
      <c r="K397" s="1" t="str">
        <f t="shared" si="6"/>
        <v>N</v>
      </c>
      <c r="L397" s="1" t="str">
        <f>RIGHT(Table1[[#This Row],[Item]],2)</f>
        <v>BR</v>
      </c>
      <c r="M397" s="1" t="s">
        <v>33</v>
      </c>
      <c r="N397" s="3" t="s">
        <v>416</v>
      </c>
      <c r="O397" s="1"/>
    </row>
    <row r="398" spans="1:15" ht="15" customHeight="1">
      <c r="A398" t="s">
        <v>417</v>
      </c>
      <c r="B398" s="1" t="str">
        <f>LEFT(Table1[[#This Row],[Item]], FIND("-", Table1[[#This Row],[Item]]) - 1)</f>
        <v>GX09</v>
      </c>
      <c r="C398" s="1" t="str">
        <f>MID(LEFT(Table1[[#This Row],[Item]], FIND("{token}", SUBSTITUTE(Table1[[#This Row],[Item]], "-", "{token}", 2)) - 1), FIND("-", Table1[[#This Row],[Item]]) + 1, LEN(Table1[[#This Row],[Item]]))</f>
        <v>D</v>
      </c>
      <c r="D39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9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398" s="1" cm="1">
        <f t="array" ref="F398">VALUE(INDEX(_xlfn.TEXTSPLIT(Table1[[#This Row],[Item]], "-"), 5))</f>
        <v>0</v>
      </c>
      <c r="G398" s="1" cm="1">
        <f t="array" ref="G398">VALUE(INDEX(_xlfn.TEXTSPLIT(Table1[[#This Row],[Item]], "-"), 6))</f>
        <v>1</v>
      </c>
      <c r="H398" s="1" cm="1">
        <f t="array" ref="H398">VALUE(INDEX(_xlfn.TEXTSPLIT(Table1[[#This Row],[Item]], "-"), 7))</f>
        <v>1</v>
      </c>
      <c r="I39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98" s="1" t="str">
        <f>LEFT(RIGHT(Table1[[#This Row],[Item]],6),1)</f>
        <v>N</v>
      </c>
      <c r="K398" s="1" t="str">
        <f t="shared" ref="K398:K461" si="7">MID(A398, LEN(A398)-3, 1)</f>
        <v>N</v>
      </c>
      <c r="L398" s="1" t="str">
        <f>RIGHT(Table1[[#This Row],[Item]],2)</f>
        <v>BR</v>
      </c>
      <c r="M398" s="1" t="s">
        <v>33</v>
      </c>
      <c r="N398" s="3" t="s">
        <v>417</v>
      </c>
      <c r="O398" s="1"/>
    </row>
    <row r="399" spans="1:15" ht="15" customHeight="1">
      <c r="A399" t="s">
        <v>418</v>
      </c>
      <c r="B399" s="1" t="str">
        <f>LEFT(Table1[[#This Row],[Item]], FIND("-", Table1[[#This Row],[Item]]) - 1)</f>
        <v>GX09</v>
      </c>
      <c r="C399" s="1" t="str">
        <f>MID(LEFT(Table1[[#This Row],[Item]], FIND("{token}", SUBSTITUTE(Table1[[#This Row],[Item]], "-", "{token}", 2)) - 1), FIND("-", Table1[[#This Row],[Item]]) + 1, LEN(Table1[[#This Row],[Item]]))</f>
        <v>D</v>
      </c>
      <c r="D39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39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399" s="1" cm="1">
        <f t="array" ref="F399">VALUE(INDEX(_xlfn.TEXTSPLIT(Table1[[#This Row],[Item]], "-"), 5))</f>
        <v>0</v>
      </c>
      <c r="G399" s="1" cm="1">
        <f t="array" ref="G399">VALUE(INDEX(_xlfn.TEXTSPLIT(Table1[[#This Row],[Item]], "-"), 6))</f>
        <v>0</v>
      </c>
      <c r="H399" s="1" cm="1">
        <f t="array" ref="H399">VALUE(INDEX(_xlfn.TEXTSPLIT(Table1[[#This Row],[Item]], "-"), 7))</f>
        <v>0</v>
      </c>
      <c r="I39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399" s="1" t="str">
        <f>LEFT(RIGHT(Table1[[#This Row],[Item]],6),1)</f>
        <v>N</v>
      </c>
      <c r="K399" s="1" t="str">
        <f t="shared" si="7"/>
        <v>N</v>
      </c>
      <c r="L399" s="1" t="str">
        <f>RIGHT(Table1[[#This Row],[Item]],2)</f>
        <v>BR</v>
      </c>
      <c r="M399" s="1" t="s">
        <v>33</v>
      </c>
      <c r="N399" s="3" t="s">
        <v>419</v>
      </c>
      <c r="O399" s="1"/>
    </row>
    <row r="400" spans="1:15" ht="15" customHeight="1">
      <c r="A400" t="s">
        <v>420</v>
      </c>
      <c r="B400" s="1" t="str">
        <f>LEFT(Table1[[#This Row],[Item]], FIND("-", Table1[[#This Row],[Item]]) - 1)</f>
        <v>GX09</v>
      </c>
      <c r="C400" s="1" t="str">
        <f>MID(LEFT(Table1[[#This Row],[Item]], FIND("{token}", SUBSTITUTE(Table1[[#This Row],[Item]], "-", "{token}", 2)) - 1), FIND("-", Table1[[#This Row],[Item]]) + 1, LEN(Table1[[#This Row],[Item]]))</f>
        <v>D</v>
      </c>
      <c r="D40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0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00" s="1" cm="1">
        <f t="array" ref="F400">VALUE(INDEX(_xlfn.TEXTSPLIT(Table1[[#This Row],[Item]], "-"), 5))</f>
        <v>0</v>
      </c>
      <c r="G400" s="1" cm="1">
        <f t="array" ref="G400">VALUE(INDEX(_xlfn.TEXTSPLIT(Table1[[#This Row],[Item]], "-"), 6))</f>
        <v>1</v>
      </c>
      <c r="H400" s="1" cm="1">
        <f t="array" ref="H400">VALUE(INDEX(_xlfn.TEXTSPLIT(Table1[[#This Row],[Item]], "-"), 7))</f>
        <v>0</v>
      </c>
      <c r="I40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00" s="1" t="str">
        <f>LEFT(RIGHT(Table1[[#This Row],[Item]],6),1)</f>
        <v>N</v>
      </c>
      <c r="K400" s="1" t="str">
        <f t="shared" si="7"/>
        <v>N</v>
      </c>
      <c r="L400" s="1" t="str">
        <f>RIGHT(Table1[[#This Row],[Item]],2)</f>
        <v>BR</v>
      </c>
      <c r="M400" s="1" t="s">
        <v>33</v>
      </c>
      <c r="N400" s="3" t="s">
        <v>419</v>
      </c>
      <c r="O400" s="1"/>
    </row>
    <row r="401" spans="1:15" ht="15" customHeight="1">
      <c r="A401" t="s">
        <v>421</v>
      </c>
      <c r="B401" s="1" t="str">
        <f>LEFT(Table1[[#This Row],[Item]], FIND("-", Table1[[#This Row],[Item]]) - 1)</f>
        <v>GX09</v>
      </c>
      <c r="C401" s="1" t="str">
        <f>MID(LEFT(Table1[[#This Row],[Item]], FIND("{token}", SUBSTITUTE(Table1[[#This Row],[Item]], "-", "{token}", 2)) - 1), FIND("-", Table1[[#This Row],[Item]]) + 1, LEN(Table1[[#This Row],[Item]]))</f>
        <v>D</v>
      </c>
      <c r="D40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0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01" s="1" cm="1">
        <f t="array" ref="F401">VALUE(INDEX(_xlfn.TEXTSPLIT(Table1[[#This Row],[Item]], "-"), 5))</f>
        <v>0</v>
      </c>
      <c r="G401" s="1" cm="1">
        <f t="array" ref="G401">VALUE(INDEX(_xlfn.TEXTSPLIT(Table1[[#This Row],[Item]], "-"), 6))</f>
        <v>2</v>
      </c>
      <c r="H401" s="1" cm="1">
        <f t="array" ref="H401">VALUE(INDEX(_xlfn.TEXTSPLIT(Table1[[#This Row],[Item]], "-"), 7))</f>
        <v>0</v>
      </c>
      <c r="I40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01" s="1" t="str">
        <f>LEFT(RIGHT(Table1[[#This Row],[Item]],6),1)</f>
        <v>N</v>
      </c>
      <c r="K401" s="1" t="str">
        <f t="shared" si="7"/>
        <v>N</v>
      </c>
      <c r="L401" s="1" t="str">
        <f>RIGHT(Table1[[#This Row],[Item]],2)</f>
        <v>BR</v>
      </c>
      <c r="M401" s="1" t="s">
        <v>33</v>
      </c>
      <c r="N401" s="3" t="s">
        <v>419</v>
      </c>
      <c r="O401" s="1"/>
    </row>
    <row r="402" spans="1:15" ht="15" customHeight="1">
      <c r="A402" t="s">
        <v>422</v>
      </c>
      <c r="B402" s="1" t="str">
        <f>LEFT(Table1[[#This Row],[Item]], FIND("-", Table1[[#This Row],[Item]]) - 1)</f>
        <v>GX09</v>
      </c>
      <c r="C402" s="1" t="str">
        <f>MID(LEFT(Table1[[#This Row],[Item]], FIND("{token}", SUBSTITUTE(Table1[[#This Row],[Item]], "-", "{token}", 2)) - 1), FIND("-", Table1[[#This Row],[Item]]) + 1, LEN(Table1[[#This Row],[Item]]))</f>
        <v>D</v>
      </c>
      <c r="D40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0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402" s="1" cm="1">
        <f t="array" ref="F402">VALUE(INDEX(_xlfn.TEXTSPLIT(Table1[[#This Row],[Item]], "-"), 5))</f>
        <v>0</v>
      </c>
      <c r="G402" s="1" cm="1">
        <f t="array" ref="G402">VALUE(INDEX(_xlfn.TEXTSPLIT(Table1[[#This Row],[Item]], "-"), 6))</f>
        <v>0</v>
      </c>
      <c r="H402" s="1" cm="1">
        <f t="array" ref="H402">VALUE(INDEX(_xlfn.TEXTSPLIT(Table1[[#This Row],[Item]], "-"), 7))</f>
        <v>2</v>
      </c>
      <c r="I40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02" s="1" t="str">
        <f>LEFT(RIGHT(Table1[[#This Row],[Item]],6),1)</f>
        <v>N</v>
      </c>
      <c r="K402" s="1" t="str">
        <f t="shared" si="7"/>
        <v>N</v>
      </c>
      <c r="L402" s="1" t="str">
        <f>RIGHT(Table1[[#This Row],[Item]],2)</f>
        <v>BR</v>
      </c>
      <c r="M402" s="1" t="s">
        <v>33</v>
      </c>
      <c r="N402" s="3" t="s">
        <v>422</v>
      </c>
      <c r="O402" s="1"/>
    </row>
    <row r="403" spans="1:15" ht="15" customHeight="1">
      <c r="A403" t="s">
        <v>419</v>
      </c>
      <c r="B403" s="1" t="str">
        <f>LEFT(Table1[[#This Row],[Item]], FIND("-", Table1[[#This Row],[Item]]) - 1)</f>
        <v>GX09</v>
      </c>
      <c r="C403" s="1" t="str">
        <f>MID(LEFT(Table1[[#This Row],[Item]], FIND("{token}", SUBSTITUTE(Table1[[#This Row],[Item]], "-", "{token}", 2)) - 1), FIND("-", Table1[[#This Row],[Item]]) + 1, LEN(Table1[[#This Row],[Item]]))</f>
        <v>D</v>
      </c>
      <c r="D40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0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03" s="1" cm="1">
        <f t="array" ref="F403">VALUE(INDEX(_xlfn.TEXTSPLIT(Table1[[#This Row],[Item]], "-"), 5))</f>
        <v>0</v>
      </c>
      <c r="G403" s="1" cm="1">
        <f t="array" ref="G403">VALUE(INDEX(_xlfn.TEXTSPLIT(Table1[[#This Row],[Item]], "-"), 6))</f>
        <v>0</v>
      </c>
      <c r="H403" s="1" cm="1">
        <f t="array" ref="H403">VALUE(INDEX(_xlfn.TEXTSPLIT(Table1[[#This Row],[Item]], "-"), 7))</f>
        <v>0</v>
      </c>
      <c r="I40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03" s="1" t="str">
        <f>LEFT(RIGHT(Table1[[#This Row],[Item]],6),1)</f>
        <v>N</v>
      </c>
      <c r="K403" s="1" t="str">
        <f t="shared" si="7"/>
        <v>N</v>
      </c>
      <c r="L403" s="1" t="str">
        <f>RIGHT(Table1[[#This Row],[Item]],2)</f>
        <v>BR</v>
      </c>
      <c r="M403" s="1" t="s">
        <v>33</v>
      </c>
      <c r="N403" s="3" t="s">
        <v>419</v>
      </c>
      <c r="O403" s="1"/>
    </row>
    <row r="404" spans="1:15" ht="15" customHeight="1">
      <c r="A404" t="s">
        <v>423</v>
      </c>
      <c r="B404" s="1" t="str">
        <f>LEFT(Table1[[#This Row],[Item]], FIND("-", Table1[[#This Row],[Item]]) - 1)</f>
        <v>GX09</v>
      </c>
      <c r="C404" s="1" t="str">
        <f>MID(LEFT(Table1[[#This Row],[Item]], FIND("{token}", SUBSTITUTE(Table1[[#This Row],[Item]], "-", "{token}", 2)) - 1), FIND("-", Table1[[#This Row],[Item]]) + 1, LEN(Table1[[#This Row],[Item]]))</f>
        <v>D</v>
      </c>
      <c r="D40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0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04" s="1" cm="1">
        <f t="array" ref="F404">VALUE(INDEX(_xlfn.TEXTSPLIT(Table1[[#This Row],[Item]], "-"), 5))</f>
        <v>0</v>
      </c>
      <c r="G404" s="1" cm="1">
        <f t="array" ref="G404">VALUE(INDEX(_xlfn.TEXTSPLIT(Table1[[#This Row],[Item]], "-"), 6))</f>
        <v>1</v>
      </c>
      <c r="H404" s="1" cm="1">
        <f t="array" ref="H404">VALUE(INDEX(_xlfn.TEXTSPLIT(Table1[[#This Row],[Item]], "-"), 7))</f>
        <v>0</v>
      </c>
      <c r="I40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04" s="1" t="str">
        <f>LEFT(RIGHT(Table1[[#This Row],[Item]],6),1)</f>
        <v>N</v>
      </c>
      <c r="K404" s="1" t="str">
        <f t="shared" si="7"/>
        <v>N</v>
      </c>
      <c r="L404" s="1" t="str">
        <f>RIGHT(Table1[[#This Row],[Item]],2)</f>
        <v>BR</v>
      </c>
      <c r="M404" s="1" t="s">
        <v>33</v>
      </c>
      <c r="N404" s="3" t="s">
        <v>419</v>
      </c>
      <c r="O404" s="1"/>
    </row>
    <row r="405" spans="1:15" ht="15" customHeight="1">
      <c r="A405" t="s">
        <v>424</v>
      </c>
      <c r="B405" s="1" t="str">
        <f>LEFT(Table1[[#This Row],[Item]], FIND("-", Table1[[#This Row],[Item]]) - 1)</f>
        <v>GX09</v>
      </c>
      <c r="C405" s="1" t="str">
        <f>MID(LEFT(Table1[[#This Row],[Item]], FIND("{token}", SUBSTITUTE(Table1[[#This Row],[Item]], "-", "{token}", 2)) - 1), FIND("-", Table1[[#This Row],[Item]]) + 1, LEN(Table1[[#This Row],[Item]]))</f>
        <v>D</v>
      </c>
      <c r="D40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0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05" s="1" cm="1">
        <f t="array" ref="F405">VALUE(INDEX(_xlfn.TEXTSPLIT(Table1[[#This Row],[Item]], "-"), 5))</f>
        <v>0</v>
      </c>
      <c r="G405" s="1" cm="1">
        <f t="array" ref="G405">VALUE(INDEX(_xlfn.TEXTSPLIT(Table1[[#This Row],[Item]], "-"), 6))</f>
        <v>2</v>
      </c>
      <c r="H405" s="1" cm="1">
        <f t="array" ref="H405">VALUE(INDEX(_xlfn.TEXTSPLIT(Table1[[#This Row],[Item]], "-"), 7))</f>
        <v>0</v>
      </c>
      <c r="I40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05" s="1" t="str">
        <f>LEFT(RIGHT(Table1[[#This Row],[Item]],6),1)</f>
        <v>N</v>
      </c>
      <c r="K405" s="1" t="str">
        <f t="shared" si="7"/>
        <v>N</v>
      </c>
      <c r="L405" s="1" t="str">
        <f>RIGHT(Table1[[#This Row],[Item]],2)</f>
        <v>BR</v>
      </c>
      <c r="M405" s="1" t="s">
        <v>33</v>
      </c>
      <c r="N405" s="3" t="s">
        <v>419</v>
      </c>
      <c r="O405" s="1"/>
    </row>
    <row r="406" spans="1:15" ht="15" customHeight="1">
      <c r="A406" t="s">
        <v>425</v>
      </c>
      <c r="B406" s="1" t="str">
        <f>LEFT(Table1[[#This Row],[Item]], FIND("-", Table1[[#This Row],[Item]]) - 1)</f>
        <v>GX09</v>
      </c>
      <c r="C406" s="1" t="str">
        <f>MID(LEFT(Table1[[#This Row],[Item]], FIND("{token}", SUBSTITUTE(Table1[[#This Row],[Item]], "-", "{token}", 2)) - 1), FIND("-", Table1[[#This Row],[Item]]) + 1, LEN(Table1[[#This Row],[Item]]))</f>
        <v>DXL</v>
      </c>
      <c r="D40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0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06" s="1" cm="1">
        <f t="array" ref="F406">VALUE(INDEX(_xlfn.TEXTSPLIT(Table1[[#This Row],[Item]], "-"), 5))</f>
        <v>0</v>
      </c>
      <c r="G406" s="1" cm="1">
        <f t="array" ref="G406">VALUE(INDEX(_xlfn.TEXTSPLIT(Table1[[#This Row],[Item]], "-"), 6))</f>
        <v>2</v>
      </c>
      <c r="H406" s="1" cm="1">
        <f t="array" ref="H406">VALUE(INDEX(_xlfn.TEXTSPLIT(Table1[[#This Row],[Item]], "-"), 7))</f>
        <v>0</v>
      </c>
      <c r="I40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06" s="1" t="str">
        <f>LEFT(RIGHT(Table1[[#This Row],[Item]],6),1)</f>
        <v>N</v>
      </c>
      <c r="K406" s="1" t="str">
        <f t="shared" si="7"/>
        <v>N</v>
      </c>
      <c r="L406" s="1" t="str">
        <f>RIGHT(Table1[[#This Row],[Item]],2)</f>
        <v>BR</v>
      </c>
      <c r="M406" s="1" t="s">
        <v>33</v>
      </c>
      <c r="N406" s="3" t="s">
        <v>425</v>
      </c>
      <c r="O406" s="1"/>
    </row>
    <row r="407" spans="1:15" ht="15" customHeight="1">
      <c r="A407" t="s">
        <v>426</v>
      </c>
      <c r="B407" s="1" t="str">
        <f>LEFT(Table1[[#This Row],[Item]], FIND("-", Table1[[#This Row],[Item]]) - 1)</f>
        <v>GX09</v>
      </c>
      <c r="C407" s="1" t="str">
        <f>MID(LEFT(Table1[[#This Row],[Item]], FIND("{token}", SUBSTITUTE(Table1[[#This Row],[Item]], "-", "{token}", 2)) - 1), FIND("-", Table1[[#This Row],[Item]]) + 1, LEN(Table1[[#This Row],[Item]]))</f>
        <v>R</v>
      </c>
      <c r="D40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0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07" s="1" cm="1">
        <f t="array" ref="F407">VALUE(INDEX(_xlfn.TEXTSPLIT(Table1[[#This Row],[Item]], "-"), 5))</f>
        <v>0</v>
      </c>
      <c r="G407" s="1" cm="1">
        <f t="array" ref="G407">VALUE(INDEX(_xlfn.TEXTSPLIT(Table1[[#This Row],[Item]], "-"), 6))</f>
        <v>0</v>
      </c>
      <c r="H407" s="1" cm="1">
        <f t="array" ref="H407">VALUE(INDEX(_xlfn.TEXTSPLIT(Table1[[#This Row],[Item]], "-"), 7))</f>
        <v>0</v>
      </c>
      <c r="I40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07" s="1" t="str">
        <f>LEFT(RIGHT(Table1[[#This Row],[Item]],6),1)</f>
        <v>N</v>
      </c>
      <c r="K407" s="1" t="str">
        <f t="shared" si="7"/>
        <v>N</v>
      </c>
      <c r="L407" s="1" t="str">
        <f>RIGHT(Table1[[#This Row],[Item]],2)</f>
        <v>BR</v>
      </c>
      <c r="M407" s="1" t="s">
        <v>33</v>
      </c>
      <c r="N407" s="3" t="s">
        <v>427</v>
      </c>
      <c r="O407" s="1"/>
    </row>
    <row r="408" spans="1:15" ht="15" customHeight="1">
      <c r="A408" t="s">
        <v>428</v>
      </c>
      <c r="B408" s="1" t="str">
        <f>LEFT(Table1[[#This Row],[Item]], FIND("-", Table1[[#This Row],[Item]]) - 1)</f>
        <v>GX09</v>
      </c>
      <c r="C408" s="1" t="str">
        <f>MID(LEFT(Table1[[#This Row],[Item]], FIND("{token}", SUBSTITUTE(Table1[[#This Row],[Item]], "-", "{token}", 2)) - 1), FIND("-", Table1[[#This Row],[Item]]) + 1, LEN(Table1[[#This Row],[Item]]))</f>
        <v>R</v>
      </c>
      <c r="D40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0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08" s="1" cm="1">
        <f t="array" ref="F408">VALUE(INDEX(_xlfn.TEXTSPLIT(Table1[[#This Row],[Item]], "-"), 5))</f>
        <v>0</v>
      </c>
      <c r="G408" s="1" cm="1">
        <f t="array" ref="G408">VALUE(INDEX(_xlfn.TEXTSPLIT(Table1[[#This Row],[Item]], "-"), 6))</f>
        <v>1</v>
      </c>
      <c r="H408" s="1" cm="1">
        <f t="array" ref="H408">VALUE(INDEX(_xlfn.TEXTSPLIT(Table1[[#This Row],[Item]], "-"), 7))</f>
        <v>0</v>
      </c>
      <c r="I40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08" s="1" t="str">
        <f>LEFT(RIGHT(Table1[[#This Row],[Item]],6),1)</f>
        <v>N</v>
      </c>
      <c r="K408" s="1" t="str">
        <f t="shared" si="7"/>
        <v>N</v>
      </c>
      <c r="L408" s="1" t="str">
        <f>RIGHT(Table1[[#This Row],[Item]],2)</f>
        <v>BR</v>
      </c>
      <c r="M408" s="1" t="s">
        <v>33</v>
      </c>
      <c r="N408" s="3" t="s">
        <v>427</v>
      </c>
      <c r="O408" s="1"/>
    </row>
    <row r="409" spans="1:15" ht="15" customHeight="1">
      <c r="A409" t="s">
        <v>429</v>
      </c>
      <c r="B409" s="1" t="str">
        <f>LEFT(Table1[[#This Row],[Item]], FIND("-", Table1[[#This Row],[Item]]) - 1)</f>
        <v>GX09</v>
      </c>
      <c r="C409" s="1" t="str">
        <f>MID(LEFT(Table1[[#This Row],[Item]], FIND("{token}", SUBSTITUTE(Table1[[#This Row],[Item]], "-", "{token}", 2)) - 1), FIND("-", Table1[[#This Row],[Item]]) + 1, LEN(Table1[[#This Row],[Item]]))</f>
        <v>R</v>
      </c>
      <c r="D40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0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09" s="1" cm="1">
        <f t="array" ref="F409">VALUE(INDEX(_xlfn.TEXTSPLIT(Table1[[#This Row],[Item]], "-"), 5))</f>
        <v>0</v>
      </c>
      <c r="G409" s="1" cm="1">
        <f t="array" ref="G409">VALUE(INDEX(_xlfn.TEXTSPLIT(Table1[[#This Row],[Item]], "-"), 6))</f>
        <v>2</v>
      </c>
      <c r="H409" s="1" cm="1">
        <f t="array" ref="H409">VALUE(INDEX(_xlfn.TEXTSPLIT(Table1[[#This Row],[Item]], "-"), 7))</f>
        <v>0</v>
      </c>
      <c r="I40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09" s="1" t="str">
        <f>LEFT(RIGHT(Table1[[#This Row],[Item]],6),1)</f>
        <v>N</v>
      </c>
      <c r="K409" s="1" t="str">
        <f t="shared" si="7"/>
        <v>N</v>
      </c>
      <c r="L409" s="1" t="str">
        <f>RIGHT(Table1[[#This Row],[Item]],2)</f>
        <v>BR</v>
      </c>
      <c r="M409" s="1" t="s">
        <v>33</v>
      </c>
      <c r="N409" s="3" t="s">
        <v>427</v>
      </c>
      <c r="O409" s="1"/>
    </row>
    <row r="410" spans="1:15" ht="15" customHeight="1">
      <c r="A410" t="s">
        <v>430</v>
      </c>
      <c r="B410" s="1" t="str">
        <f>LEFT(Table1[[#This Row],[Item]], FIND("-", Table1[[#This Row],[Item]]) - 1)</f>
        <v>GX09</v>
      </c>
      <c r="C410" s="1" t="str">
        <f>MID(LEFT(Table1[[#This Row],[Item]], FIND("{token}", SUBSTITUTE(Table1[[#This Row],[Item]], "-", "{token}", 2)) - 1), FIND("-", Table1[[#This Row],[Item]]) + 1, LEN(Table1[[#This Row],[Item]]))</f>
        <v>R</v>
      </c>
      <c r="D41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1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10" s="1" cm="1">
        <f t="array" ref="F410">VALUE(INDEX(_xlfn.TEXTSPLIT(Table1[[#This Row],[Item]], "-"), 5))</f>
        <v>1</v>
      </c>
      <c r="G410" s="1" cm="1">
        <f t="array" ref="G410">VALUE(INDEX(_xlfn.TEXTSPLIT(Table1[[#This Row],[Item]], "-"), 6))</f>
        <v>0</v>
      </c>
      <c r="H410" s="1" cm="1">
        <f t="array" ref="H410">VALUE(INDEX(_xlfn.TEXTSPLIT(Table1[[#This Row],[Item]], "-"), 7))</f>
        <v>0</v>
      </c>
      <c r="I41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10" s="1" t="str">
        <f>LEFT(RIGHT(Table1[[#This Row],[Item]],6),1)</f>
        <v>N</v>
      </c>
      <c r="K410" s="1" t="str">
        <f t="shared" si="7"/>
        <v>N</v>
      </c>
      <c r="L410" s="1" t="str">
        <f>RIGHT(Table1[[#This Row],[Item]],2)</f>
        <v>BR</v>
      </c>
      <c r="M410" s="1" t="s">
        <v>33</v>
      </c>
      <c r="N410" s="3" t="s">
        <v>430</v>
      </c>
      <c r="O410" s="1"/>
    </row>
    <row r="411" spans="1:15" ht="15" customHeight="1">
      <c r="A411" t="s">
        <v>431</v>
      </c>
      <c r="B411" s="1" t="str">
        <f>LEFT(Table1[[#This Row],[Item]], FIND("-", Table1[[#This Row],[Item]]) - 1)</f>
        <v>GX09</v>
      </c>
      <c r="C411" s="1" t="str">
        <f>MID(LEFT(Table1[[#This Row],[Item]], FIND("{token}", SUBSTITUTE(Table1[[#This Row],[Item]], "-", "{token}", 2)) - 1), FIND("-", Table1[[#This Row],[Item]]) + 1, LEN(Table1[[#This Row],[Item]]))</f>
        <v>R</v>
      </c>
      <c r="D41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1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11" s="1" cm="1">
        <f t="array" ref="F411">VALUE(INDEX(_xlfn.TEXTSPLIT(Table1[[#This Row],[Item]], "-"), 5))</f>
        <v>1</v>
      </c>
      <c r="G411" s="1" cm="1">
        <f t="array" ref="G411">VALUE(INDEX(_xlfn.TEXTSPLIT(Table1[[#This Row],[Item]], "-"), 6))</f>
        <v>1</v>
      </c>
      <c r="H411" s="1" cm="1">
        <f t="array" ref="H411">VALUE(INDEX(_xlfn.TEXTSPLIT(Table1[[#This Row],[Item]], "-"), 7))</f>
        <v>0</v>
      </c>
      <c r="I41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11" s="1" t="str">
        <f>LEFT(RIGHT(Table1[[#This Row],[Item]],6),1)</f>
        <v>N</v>
      </c>
      <c r="K411" s="1" t="str">
        <f t="shared" si="7"/>
        <v>N</v>
      </c>
      <c r="L411" s="1" t="str">
        <f>RIGHT(Table1[[#This Row],[Item]],2)</f>
        <v>BR</v>
      </c>
      <c r="M411" s="1" t="s">
        <v>33</v>
      </c>
      <c r="N411" s="3" t="s">
        <v>431</v>
      </c>
      <c r="O411" s="1"/>
    </row>
    <row r="412" spans="1:15" ht="15" customHeight="1">
      <c r="A412" t="s">
        <v>432</v>
      </c>
      <c r="B412" s="1" t="str">
        <f>LEFT(Table1[[#This Row],[Item]], FIND("-", Table1[[#This Row],[Item]]) - 1)</f>
        <v>GX09</v>
      </c>
      <c r="C412" s="1" t="str">
        <f>MID(LEFT(Table1[[#This Row],[Item]], FIND("{token}", SUBSTITUTE(Table1[[#This Row],[Item]], "-", "{token}", 2)) - 1), FIND("-", Table1[[#This Row],[Item]]) + 1, LEN(Table1[[#This Row],[Item]]))</f>
        <v>R</v>
      </c>
      <c r="D412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1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12" s="1" cm="1">
        <f t="array" ref="F412">VALUE(INDEX(_xlfn.TEXTSPLIT(Table1[[#This Row],[Item]], "-"), 5))</f>
        <v>1</v>
      </c>
      <c r="G412" s="1" cm="1">
        <f t="array" ref="G412">VALUE(INDEX(_xlfn.TEXTSPLIT(Table1[[#This Row],[Item]], "-"), 6))</f>
        <v>2</v>
      </c>
      <c r="H412" s="1" cm="1">
        <f t="array" ref="H412">VALUE(INDEX(_xlfn.TEXTSPLIT(Table1[[#This Row],[Item]], "-"), 7))</f>
        <v>0</v>
      </c>
      <c r="I41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12" s="1" t="str">
        <f>LEFT(RIGHT(Table1[[#This Row],[Item]],6),1)</f>
        <v>N</v>
      </c>
      <c r="K412" s="1" t="str">
        <f t="shared" si="7"/>
        <v>N</v>
      </c>
      <c r="L412" s="1" t="str">
        <f>RIGHT(Table1[[#This Row],[Item]],2)</f>
        <v>BR</v>
      </c>
      <c r="M412" s="1" t="s">
        <v>33</v>
      </c>
      <c r="N412" s="3" t="s">
        <v>432</v>
      </c>
      <c r="O412" s="1"/>
    </row>
    <row r="413" spans="1:15" ht="15" customHeight="1">
      <c r="A413" t="s">
        <v>433</v>
      </c>
      <c r="B413" s="1" t="str">
        <f>LEFT(Table1[[#This Row],[Item]], FIND("-", Table1[[#This Row],[Item]]) - 1)</f>
        <v>GX09</v>
      </c>
      <c r="C413" s="1" t="str">
        <f>MID(LEFT(Table1[[#This Row],[Item]], FIND("{token}", SUBSTITUTE(Table1[[#This Row],[Item]], "-", "{token}", 2)) - 1), FIND("-", Table1[[#This Row],[Item]]) + 1, LEN(Table1[[#This Row],[Item]]))</f>
        <v>R</v>
      </c>
      <c r="D41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1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413" s="1" cm="1">
        <f t="array" ref="F413">VALUE(INDEX(_xlfn.TEXTSPLIT(Table1[[#This Row],[Item]], "-"), 5))</f>
        <v>0</v>
      </c>
      <c r="G413" s="1" cm="1">
        <f t="array" ref="G413">VALUE(INDEX(_xlfn.TEXTSPLIT(Table1[[#This Row],[Item]], "-"), 6))</f>
        <v>1</v>
      </c>
      <c r="H413" s="1" cm="1">
        <f t="array" ref="H413">VALUE(INDEX(_xlfn.TEXTSPLIT(Table1[[#This Row],[Item]], "-"), 7))</f>
        <v>1</v>
      </c>
      <c r="I41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13" s="1" t="str">
        <f>LEFT(RIGHT(Table1[[#This Row],[Item]],6),1)</f>
        <v>N</v>
      </c>
      <c r="K413" s="1" t="str">
        <f t="shared" si="7"/>
        <v>N</v>
      </c>
      <c r="L413" s="1" t="str">
        <f>RIGHT(Table1[[#This Row],[Item]],2)</f>
        <v>BR</v>
      </c>
      <c r="M413" s="1" t="s">
        <v>33</v>
      </c>
      <c r="N413" s="3" t="s">
        <v>433</v>
      </c>
      <c r="O413" s="1"/>
    </row>
    <row r="414" spans="1:15" ht="15" customHeight="1">
      <c r="A414" t="s">
        <v>427</v>
      </c>
      <c r="B414" s="1" t="str">
        <f>LEFT(Table1[[#This Row],[Item]], FIND("-", Table1[[#This Row],[Item]]) - 1)</f>
        <v>GX09</v>
      </c>
      <c r="C414" s="1" t="str">
        <f>MID(LEFT(Table1[[#This Row],[Item]], FIND("{token}", SUBSTITUTE(Table1[[#This Row],[Item]], "-", "{token}", 2)) - 1), FIND("-", Table1[[#This Row],[Item]]) + 1, LEN(Table1[[#This Row],[Item]]))</f>
        <v>R</v>
      </c>
      <c r="D41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1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14" s="1" cm="1">
        <f t="array" ref="F414">VALUE(INDEX(_xlfn.TEXTSPLIT(Table1[[#This Row],[Item]], "-"), 5))</f>
        <v>0</v>
      </c>
      <c r="G414" s="1" cm="1">
        <f t="array" ref="G414">VALUE(INDEX(_xlfn.TEXTSPLIT(Table1[[#This Row],[Item]], "-"), 6))</f>
        <v>0</v>
      </c>
      <c r="H414" s="1" cm="1">
        <f t="array" ref="H414">VALUE(INDEX(_xlfn.TEXTSPLIT(Table1[[#This Row],[Item]], "-"), 7))</f>
        <v>0</v>
      </c>
      <c r="I41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14" s="1" t="str">
        <f>LEFT(RIGHT(Table1[[#This Row],[Item]],6),1)</f>
        <v>N</v>
      </c>
      <c r="K414" s="1" t="str">
        <f t="shared" si="7"/>
        <v>N</v>
      </c>
      <c r="L414" s="1" t="str">
        <f>RIGHT(Table1[[#This Row],[Item]],2)</f>
        <v>BR</v>
      </c>
      <c r="M414" s="1" t="s">
        <v>33</v>
      </c>
      <c r="N414" s="3" t="s">
        <v>427</v>
      </c>
      <c r="O414" s="1"/>
    </row>
    <row r="415" spans="1:15" ht="15" customHeight="1">
      <c r="A415" t="s">
        <v>434</v>
      </c>
      <c r="B415" s="1" t="str">
        <f>LEFT(Table1[[#This Row],[Item]], FIND("-", Table1[[#This Row],[Item]]) - 1)</f>
        <v>GX09</v>
      </c>
      <c r="C415" s="1" t="str">
        <f>MID(LEFT(Table1[[#This Row],[Item]], FIND("{token}", SUBSTITUTE(Table1[[#This Row],[Item]], "-", "{token}", 2)) - 1), FIND("-", Table1[[#This Row],[Item]]) + 1, LEN(Table1[[#This Row],[Item]]))</f>
        <v>R</v>
      </c>
      <c r="D41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1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15" s="1" cm="1">
        <f t="array" ref="F415">VALUE(INDEX(_xlfn.TEXTSPLIT(Table1[[#This Row],[Item]], "-"), 5))</f>
        <v>0</v>
      </c>
      <c r="G415" s="1" cm="1">
        <f t="array" ref="G415">VALUE(INDEX(_xlfn.TEXTSPLIT(Table1[[#This Row],[Item]], "-"), 6))</f>
        <v>1</v>
      </c>
      <c r="H415" s="1" cm="1">
        <f t="array" ref="H415">VALUE(INDEX(_xlfn.TEXTSPLIT(Table1[[#This Row],[Item]], "-"), 7))</f>
        <v>0</v>
      </c>
      <c r="I41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15" s="1" t="str">
        <f>LEFT(RIGHT(Table1[[#This Row],[Item]],6),1)</f>
        <v>N</v>
      </c>
      <c r="K415" s="1" t="str">
        <f t="shared" si="7"/>
        <v>N</v>
      </c>
      <c r="L415" s="1" t="str">
        <f>RIGHT(Table1[[#This Row],[Item]],2)</f>
        <v>BR</v>
      </c>
      <c r="M415" s="1" t="s">
        <v>33</v>
      </c>
      <c r="N415" s="3" t="s">
        <v>427</v>
      </c>
      <c r="O415" s="1"/>
    </row>
    <row r="416" spans="1:15" ht="15" customHeight="1">
      <c r="A416" t="s">
        <v>435</v>
      </c>
      <c r="B416" s="1" t="str">
        <f>LEFT(Table1[[#This Row],[Item]], FIND("-", Table1[[#This Row],[Item]]) - 1)</f>
        <v>GX09</v>
      </c>
      <c r="C416" s="1" t="str">
        <f>MID(LEFT(Table1[[#This Row],[Item]], FIND("{token}", SUBSTITUTE(Table1[[#This Row],[Item]], "-", "{token}", 2)) - 1), FIND("-", Table1[[#This Row],[Item]]) + 1, LEN(Table1[[#This Row],[Item]]))</f>
        <v>R</v>
      </c>
      <c r="D41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1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16" s="1" cm="1">
        <f t="array" ref="F416">VALUE(INDEX(_xlfn.TEXTSPLIT(Table1[[#This Row],[Item]], "-"), 5))</f>
        <v>0</v>
      </c>
      <c r="G416" s="1" cm="1">
        <f t="array" ref="G416">VALUE(INDEX(_xlfn.TEXTSPLIT(Table1[[#This Row],[Item]], "-"), 6))</f>
        <v>2</v>
      </c>
      <c r="H416" s="1" cm="1">
        <f t="array" ref="H416">VALUE(INDEX(_xlfn.TEXTSPLIT(Table1[[#This Row],[Item]], "-"), 7))</f>
        <v>0</v>
      </c>
      <c r="I41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16" s="1" t="str">
        <f>LEFT(RIGHT(Table1[[#This Row],[Item]],6),1)</f>
        <v>N</v>
      </c>
      <c r="K416" s="1" t="str">
        <f t="shared" si="7"/>
        <v>N</v>
      </c>
      <c r="L416" s="1" t="str">
        <f>RIGHT(Table1[[#This Row],[Item]],2)</f>
        <v>BR</v>
      </c>
      <c r="M416" s="1" t="s">
        <v>33</v>
      </c>
      <c r="N416" s="3" t="s">
        <v>427</v>
      </c>
      <c r="O416" s="1"/>
    </row>
    <row r="417" spans="1:15" ht="15" customHeight="1">
      <c r="A417" t="s">
        <v>436</v>
      </c>
      <c r="B417" s="1" t="str">
        <f>LEFT(Table1[[#This Row],[Item]], FIND("-", Table1[[#This Row],[Item]]) - 1)</f>
        <v>GX09</v>
      </c>
      <c r="C417" s="1" t="str">
        <f>MID(LEFT(Table1[[#This Row],[Item]], FIND("{token}", SUBSTITUTE(Table1[[#This Row],[Item]], "-", "{token}", 2)) - 1), FIND("-", Table1[[#This Row],[Item]]) + 1, LEN(Table1[[#This Row],[Item]]))</f>
        <v>R</v>
      </c>
      <c r="D41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1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17" s="1" cm="1">
        <f t="array" ref="F417">VALUE(INDEX(_xlfn.TEXTSPLIT(Table1[[#This Row],[Item]], "-"), 5))</f>
        <v>1</v>
      </c>
      <c r="G417" s="1" cm="1">
        <f t="array" ref="G417">VALUE(INDEX(_xlfn.TEXTSPLIT(Table1[[#This Row],[Item]], "-"), 6))</f>
        <v>0</v>
      </c>
      <c r="H417" s="1" cm="1">
        <f t="array" ref="H417">VALUE(INDEX(_xlfn.TEXTSPLIT(Table1[[#This Row],[Item]], "-"), 7))</f>
        <v>0</v>
      </c>
      <c r="I41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17" s="1" t="str">
        <f>LEFT(RIGHT(Table1[[#This Row],[Item]],6),1)</f>
        <v>N</v>
      </c>
      <c r="K417" s="1" t="str">
        <f t="shared" si="7"/>
        <v>N</v>
      </c>
      <c r="L417" s="1" t="str">
        <f>RIGHT(Table1[[#This Row],[Item]],2)</f>
        <v>BR</v>
      </c>
      <c r="M417" s="1" t="s">
        <v>33</v>
      </c>
      <c r="N417" s="3" t="s">
        <v>436</v>
      </c>
      <c r="O417" s="1"/>
    </row>
    <row r="418" spans="1:15" ht="15" customHeight="1">
      <c r="A418" t="s">
        <v>437</v>
      </c>
      <c r="B418" s="1" t="str">
        <f>LEFT(Table1[[#This Row],[Item]], FIND("-", Table1[[#This Row],[Item]]) - 1)</f>
        <v>GX09</v>
      </c>
      <c r="C418" s="1" t="str">
        <f>MID(LEFT(Table1[[#This Row],[Item]], FIND("{token}", SUBSTITUTE(Table1[[#This Row],[Item]], "-", "{token}", 2)) - 1), FIND("-", Table1[[#This Row],[Item]]) + 1, LEN(Table1[[#This Row],[Item]]))</f>
        <v>R</v>
      </c>
      <c r="D41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1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18" s="1" cm="1">
        <f t="array" ref="F418">VALUE(INDEX(_xlfn.TEXTSPLIT(Table1[[#This Row],[Item]], "-"), 5))</f>
        <v>1</v>
      </c>
      <c r="G418" s="1" cm="1">
        <f t="array" ref="G418">VALUE(INDEX(_xlfn.TEXTSPLIT(Table1[[#This Row],[Item]], "-"), 6))</f>
        <v>1</v>
      </c>
      <c r="H418" s="1" cm="1">
        <f t="array" ref="H418">VALUE(INDEX(_xlfn.TEXTSPLIT(Table1[[#This Row],[Item]], "-"), 7))</f>
        <v>0</v>
      </c>
      <c r="I41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18" s="1" t="str">
        <f>LEFT(RIGHT(Table1[[#This Row],[Item]],6),1)</f>
        <v>N</v>
      </c>
      <c r="K418" s="1" t="str">
        <f t="shared" si="7"/>
        <v>N</v>
      </c>
      <c r="L418" s="1" t="str">
        <f>RIGHT(Table1[[#This Row],[Item]],2)</f>
        <v>BR</v>
      </c>
      <c r="M418" s="1" t="s">
        <v>33</v>
      </c>
      <c r="N418" s="3" t="s">
        <v>437</v>
      </c>
      <c r="O418" s="1"/>
    </row>
    <row r="419" spans="1:15" ht="15" customHeight="1">
      <c r="A419" t="s">
        <v>438</v>
      </c>
      <c r="B419" s="1" t="str">
        <f>LEFT(Table1[[#This Row],[Item]], FIND("-", Table1[[#This Row],[Item]]) - 1)</f>
        <v>GX09</v>
      </c>
      <c r="C419" s="1" t="str">
        <f>MID(LEFT(Table1[[#This Row],[Item]], FIND("{token}", SUBSTITUTE(Table1[[#This Row],[Item]], "-", "{token}", 2)) - 1), FIND("-", Table1[[#This Row],[Item]]) + 1, LEN(Table1[[#This Row],[Item]]))</f>
        <v>R</v>
      </c>
      <c r="D41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1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19" s="1" cm="1">
        <f t="array" ref="F419">VALUE(INDEX(_xlfn.TEXTSPLIT(Table1[[#This Row],[Item]], "-"), 5))</f>
        <v>1</v>
      </c>
      <c r="G419" s="1" cm="1">
        <f t="array" ref="G419">VALUE(INDEX(_xlfn.TEXTSPLIT(Table1[[#This Row],[Item]], "-"), 6))</f>
        <v>2</v>
      </c>
      <c r="H419" s="1" cm="1">
        <f t="array" ref="H419">VALUE(INDEX(_xlfn.TEXTSPLIT(Table1[[#This Row],[Item]], "-"), 7))</f>
        <v>0</v>
      </c>
      <c r="I41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19" s="1" t="str">
        <f>LEFT(RIGHT(Table1[[#This Row],[Item]],6),1)</f>
        <v>N</v>
      </c>
      <c r="K419" s="1" t="str">
        <f t="shared" si="7"/>
        <v>N</v>
      </c>
      <c r="L419" s="1" t="str">
        <f>RIGHT(Table1[[#This Row],[Item]],2)</f>
        <v>BR</v>
      </c>
      <c r="M419" s="1" t="s">
        <v>33</v>
      </c>
      <c r="N419" s="3" t="s">
        <v>438</v>
      </c>
      <c r="O419" s="1"/>
    </row>
    <row r="420" spans="1:15" ht="15" customHeight="1">
      <c r="A420" t="s">
        <v>439</v>
      </c>
      <c r="B420" s="1" t="str">
        <f>LEFT(Table1[[#This Row],[Item]], FIND("-", Table1[[#This Row],[Item]]) - 1)</f>
        <v>GX09</v>
      </c>
      <c r="C420" s="1" t="str">
        <f>MID(LEFT(Table1[[#This Row],[Item]], FIND("{token}", SUBSTITUTE(Table1[[#This Row],[Item]], "-", "{token}", 2)) - 1), FIND("-", Table1[[#This Row],[Item]]) + 1, LEN(Table1[[#This Row],[Item]]))</f>
        <v>RXL</v>
      </c>
      <c r="D42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2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420" s="1" cm="1">
        <f t="array" ref="F420">VALUE(INDEX(_xlfn.TEXTSPLIT(Table1[[#This Row],[Item]], "-"), 5))</f>
        <v>0</v>
      </c>
      <c r="G420" s="1" cm="1">
        <f t="array" ref="G420">VALUE(INDEX(_xlfn.TEXTSPLIT(Table1[[#This Row],[Item]], "-"), 6))</f>
        <v>0</v>
      </c>
      <c r="H420" s="1" cm="1">
        <f t="array" ref="H420">VALUE(INDEX(_xlfn.TEXTSPLIT(Table1[[#This Row],[Item]], "-"), 7))</f>
        <v>1</v>
      </c>
      <c r="I42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20" s="1" t="str">
        <f>LEFT(RIGHT(Table1[[#This Row],[Item]],6),1)</f>
        <v>N</v>
      </c>
      <c r="K420" s="1" t="str">
        <f t="shared" si="7"/>
        <v>N</v>
      </c>
      <c r="L420" s="1" t="str">
        <f>RIGHT(Table1[[#This Row],[Item]],2)</f>
        <v>BR</v>
      </c>
      <c r="M420" s="1" t="s">
        <v>33</v>
      </c>
      <c r="N420" s="3" t="s">
        <v>439</v>
      </c>
      <c r="O420" s="1"/>
    </row>
    <row r="421" spans="1:15" ht="15" customHeight="1">
      <c r="A421" t="s">
        <v>440</v>
      </c>
      <c r="B421" s="1" t="str">
        <f>LEFT(Table1[[#This Row],[Item]], FIND("-", Table1[[#This Row],[Item]]) - 1)</f>
        <v>GX09</v>
      </c>
      <c r="C421" s="1" t="str">
        <f>MID(LEFT(Table1[[#This Row],[Item]], FIND("{token}", SUBSTITUTE(Table1[[#This Row],[Item]], "-", "{token}", 2)) - 1), FIND("-", Table1[[#This Row],[Item]]) + 1, LEN(Table1[[#This Row],[Item]]))</f>
        <v>RXL</v>
      </c>
      <c r="D42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2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21" s="1" cm="1">
        <f t="array" ref="F421">VALUE(INDEX(_xlfn.TEXTSPLIT(Table1[[#This Row],[Item]], "-"), 5))</f>
        <v>0</v>
      </c>
      <c r="G421" s="1" cm="1">
        <f t="array" ref="G421">VALUE(INDEX(_xlfn.TEXTSPLIT(Table1[[#This Row],[Item]], "-"), 6))</f>
        <v>2</v>
      </c>
      <c r="H421" s="1" cm="1">
        <f t="array" ref="H421">VALUE(INDEX(_xlfn.TEXTSPLIT(Table1[[#This Row],[Item]], "-"), 7))</f>
        <v>0</v>
      </c>
      <c r="I42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21" s="1" t="str">
        <f>LEFT(RIGHT(Table1[[#This Row],[Item]],6),1)</f>
        <v>N</v>
      </c>
      <c r="K421" s="1" t="str">
        <f t="shared" si="7"/>
        <v>N</v>
      </c>
      <c r="L421" s="1" t="str">
        <f>RIGHT(Table1[[#This Row],[Item]],2)</f>
        <v>BR</v>
      </c>
      <c r="M421" s="1" t="s">
        <v>33</v>
      </c>
      <c r="N421" s="3" t="s">
        <v>440</v>
      </c>
      <c r="O421" s="1"/>
    </row>
    <row r="422" spans="1:15" ht="15" customHeight="1">
      <c r="A422" t="s">
        <v>441</v>
      </c>
      <c r="B422" s="1" t="str">
        <f>LEFT(Table1[[#This Row],[Item]], FIND("-", Table1[[#This Row],[Item]]) - 1)</f>
        <v>GX09</v>
      </c>
      <c r="C422" s="1" t="str">
        <f>MID(LEFT(Table1[[#This Row],[Item]], FIND("{token}", SUBSTITUTE(Table1[[#This Row],[Item]], "-", "{token}", 2)) - 1), FIND("-", Table1[[#This Row],[Item]]) + 1, LEN(Table1[[#This Row],[Item]]))</f>
        <v>RXL</v>
      </c>
      <c r="D422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42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422" s="1" cm="1">
        <f t="array" ref="F422">VALUE(INDEX(_xlfn.TEXTSPLIT(Table1[[#This Row],[Item]], "-"), 5))</f>
        <v>1</v>
      </c>
      <c r="G422" s="1" cm="1">
        <f t="array" ref="G422">VALUE(INDEX(_xlfn.TEXTSPLIT(Table1[[#This Row],[Item]], "-"), 6))</f>
        <v>1</v>
      </c>
      <c r="H422" s="1" cm="1">
        <f t="array" ref="H422">VALUE(INDEX(_xlfn.TEXTSPLIT(Table1[[#This Row],[Item]], "-"), 7))</f>
        <v>1</v>
      </c>
      <c r="I42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22" s="1" t="str">
        <f>LEFT(RIGHT(Table1[[#This Row],[Item]],6),1)</f>
        <v>N</v>
      </c>
      <c r="K422" s="1" t="str">
        <f t="shared" si="7"/>
        <v>N</v>
      </c>
      <c r="L422" s="1" t="str">
        <f>RIGHT(Table1[[#This Row],[Item]],2)</f>
        <v>BR</v>
      </c>
      <c r="M422" s="1" t="s">
        <v>33</v>
      </c>
      <c r="N422" s="3" t="s">
        <v>441</v>
      </c>
      <c r="O422" s="1"/>
    </row>
    <row r="423" spans="1:15" ht="15" customHeight="1">
      <c r="A423" t="s">
        <v>442</v>
      </c>
      <c r="B423" s="1" t="str">
        <f>LEFT(Table1[[#This Row],[Item]], FIND("-", Table1[[#This Row],[Item]]) - 1)</f>
        <v>GX09</v>
      </c>
      <c r="C423" s="1" t="str">
        <f>MID(LEFT(Table1[[#This Row],[Item]], FIND("{token}", SUBSTITUTE(Table1[[#This Row],[Item]], "-", "{token}", 2)) - 1), FIND("-", Table1[[#This Row],[Item]]) + 1, LEN(Table1[[#This Row],[Item]]))</f>
        <v>RXL</v>
      </c>
      <c r="D423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42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423" s="1" cm="1">
        <f t="array" ref="F423">VALUE(INDEX(_xlfn.TEXTSPLIT(Table1[[#This Row],[Item]], "-"), 5))</f>
        <v>1</v>
      </c>
      <c r="G423" s="1" cm="1">
        <f t="array" ref="G423">VALUE(INDEX(_xlfn.TEXTSPLIT(Table1[[#This Row],[Item]], "-"), 6))</f>
        <v>2</v>
      </c>
      <c r="H423" s="1" cm="1">
        <f t="array" ref="H423">VALUE(INDEX(_xlfn.TEXTSPLIT(Table1[[#This Row],[Item]], "-"), 7))</f>
        <v>1</v>
      </c>
      <c r="I42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23" s="1" t="str">
        <f>LEFT(RIGHT(Table1[[#This Row],[Item]],6),1)</f>
        <v>N</v>
      </c>
      <c r="K423" s="1" t="str">
        <f t="shared" si="7"/>
        <v>N</v>
      </c>
      <c r="L423" s="1" t="str">
        <f>RIGHT(Table1[[#This Row],[Item]],2)</f>
        <v>BR</v>
      </c>
      <c r="M423" s="1" t="s">
        <v>33</v>
      </c>
      <c r="N423" s="3" t="s">
        <v>442</v>
      </c>
      <c r="O423" s="1"/>
    </row>
    <row r="424" spans="1:15" ht="15" customHeight="1">
      <c r="A424" t="s">
        <v>443</v>
      </c>
      <c r="B424" s="1" t="str">
        <f>LEFT(Table1[[#This Row],[Item]], FIND("-", Table1[[#This Row],[Item]]) - 1)</f>
        <v>GX09</v>
      </c>
      <c r="C424" s="1" t="str">
        <f>MID(LEFT(Table1[[#This Row],[Item]], FIND("{token}", SUBSTITUTE(Table1[[#This Row],[Item]], "-", "{token}", 2)) - 1), FIND("-", Table1[[#This Row],[Item]]) + 1, LEN(Table1[[#This Row],[Item]]))</f>
        <v>RXL</v>
      </c>
      <c r="D424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42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24" s="1" cm="1">
        <f t="array" ref="F424">VALUE(INDEX(_xlfn.TEXTSPLIT(Table1[[#This Row],[Item]], "-"), 5))</f>
        <v>1</v>
      </c>
      <c r="G424" s="1" cm="1">
        <f t="array" ref="G424">VALUE(INDEX(_xlfn.TEXTSPLIT(Table1[[#This Row],[Item]], "-"), 6))</f>
        <v>2</v>
      </c>
      <c r="H424" s="1" cm="1">
        <f t="array" ref="H424">VALUE(INDEX(_xlfn.TEXTSPLIT(Table1[[#This Row],[Item]], "-"), 7))</f>
        <v>0</v>
      </c>
      <c r="I42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24" s="1" t="str">
        <f>LEFT(RIGHT(Table1[[#This Row],[Item]],6),1)</f>
        <v>N</v>
      </c>
      <c r="K424" s="1" t="str">
        <f t="shared" si="7"/>
        <v>N</v>
      </c>
      <c r="L424" s="1" t="str">
        <f>RIGHT(Table1[[#This Row],[Item]],2)</f>
        <v>BR</v>
      </c>
      <c r="M424" s="1" t="s">
        <v>33</v>
      </c>
      <c r="N424" s="3" t="s">
        <v>443</v>
      </c>
      <c r="O424" s="1"/>
    </row>
    <row r="425" spans="1:15" ht="15" customHeight="1">
      <c r="A425" t="s">
        <v>444</v>
      </c>
      <c r="B425" s="1" t="str">
        <f>LEFT(Table1[[#This Row],[Item]], FIND("-", Table1[[#This Row],[Item]]) - 1)</f>
        <v>GX10</v>
      </c>
      <c r="C425" s="1" t="str">
        <f>MID(LEFT(Table1[[#This Row],[Item]], FIND("{token}", SUBSTITUTE(Table1[[#This Row],[Item]], "-", "{token}", 2)) - 1), FIND("-", Table1[[#This Row],[Item]]) + 1, LEN(Table1[[#This Row],[Item]]))</f>
        <v>C</v>
      </c>
      <c r="D425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2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25" s="1" cm="1">
        <f t="array" ref="F425">VALUE(INDEX(_xlfn.TEXTSPLIT(Table1[[#This Row],[Item]], "-"), 5))</f>
        <v>1</v>
      </c>
      <c r="G425" s="1" cm="1">
        <f t="array" ref="G425">VALUE(INDEX(_xlfn.TEXTSPLIT(Table1[[#This Row],[Item]], "-"), 6))</f>
        <v>2</v>
      </c>
      <c r="H425" s="1" cm="1">
        <f t="array" ref="H425">VALUE(INDEX(_xlfn.TEXTSPLIT(Table1[[#This Row],[Item]], "-"), 7))</f>
        <v>0</v>
      </c>
      <c r="I42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25" s="1" t="str">
        <f>LEFT(RIGHT(Table1[[#This Row],[Item]],6),1)</f>
        <v>N</v>
      </c>
      <c r="K425" s="1" t="str">
        <f t="shared" si="7"/>
        <v>N</v>
      </c>
      <c r="L425" s="1" t="str">
        <f>RIGHT(Table1[[#This Row],[Item]],2)</f>
        <v>BR</v>
      </c>
      <c r="M425" s="1" t="s">
        <v>33</v>
      </c>
      <c r="N425" s="3" t="s">
        <v>444</v>
      </c>
      <c r="O425" s="1"/>
    </row>
    <row r="426" spans="1:15" ht="15" customHeight="1">
      <c r="A426" t="s">
        <v>445</v>
      </c>
      <c r="B426" s="1" t="str">
        <f>LEFT(Table1[[#This Row],[Item]], FIND("-", Table1[[#This Row],[Item]]) - 1)</f>
        <v>GX10</v>
      </c>
      <c r="C426" s="1" t="str">
        <f>MID(LEFT(Table1[[#This Row],[Item]], FIND("{token}", SUBSTITUTE(Table1[[#This Row],[Item]], "-", "{token}", 2)) - 1), FIND("-", Table1[[#This Row],[Item]]) + 1, LEN(Table1[[#This Row],[Item]]))</f>
        <v>C</v>
      </c>
      <c r="D426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42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426" s="1" cm="1">
        <f t="array" ref="F426">VALUE(INDEX(_xlfn.TEXTSPLIT(Table1[[#This Row],[Item]], "-"), 5))</f>
        <v>1</v>
      </c>
      <c r="G426" s="1" cm="1">
        <f t="array" ref="G426">VALUE(INDEX(_xlfn.TEXTSPLIT(Table1[[#This Row],[Item]], "-"), 6))</f>
        <v>1</v>
      </c>
      <c r="H426" s="1" cm="1">
        <f t="array" ref="H426">VALUE(INDEX(_xlfn.TEXTSPLIT(Table1[[#This Row],[Item]], "-"), 7))</f>
        <v>1</v>
      </c>
      <c r="I42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26" s="1" t="str">
        <f>LEFT(RIGHT(Table1[[#This Row],[Item]],6),1)</f>
        <v>N</v>
      </c>
      <c r="K426" s="1" t="str">
        <f t="shared" si="7"/>
        <v>N</v>
      </c>
      <c r="L426" s="1" t="str">
        <f>RIGHT(Table1[[#This Row],[Item]],2)</f>
        <v>BR</v>
      </c>
      <c r="M426" s="1" t="s">
        <v>33</v>
      </c>
      <c r="N426" s="3" t="s">
        <v>445</v>
      </c>
      <c r="O426" s="1"/>
    </row>
    <row r="427" spans="1:15" ht="15" customHeight="1">
      <c r="A427" t="s">
        <v>446</v>
      </c>
      <c r="B427" s="1" t="str">
        <f>LEFT(Table1[[#This Row],[Item]], FIND("-", Table1[[#This Row],[Item]]) - 1)</f>
        <v>GX10</v>
      </c>
      <c r="C427" s="1" t="str">
        <f>MID(LEFT(Table1[[#This Row],[Item]], FIND("{token}", SUBSTITUTE(Table1[[#This Row],[Item]], "-", "{token}", 2)) - 1), FIND("-", Table1[[#This Row],[Item]]) + 1, LEN(Table1[[#This Row],[Item]]))</f>
        <v>C</v>
      </c>
      <c r="D427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42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27" s="1" cm="1">
        <f t="array" ref="F427">VALUE(INDEX(_xlfn.TEXTSPLIT(Table1[[#This Row],[Item]], "-"), 5))</f>
        <v>1</v>
      </c>
      <c r="G427" s="1" cm="1">
        <f t="array" ref="G427">VALUE(INDEX(_xlfn.TEXTSPLIT(Table1[[#This Row],[Item]], "-"), 6))</f>
        <v>0</v>
      </c>
      <c r="H427" s="1" cm="1">
        <f t="array" ref="H427">VALUE(INDEX(_xlfn.TEXTSPLIT(Table1[[#This Row],[Item]], "-"), 7))</f>
        <v>0</v>
      </c>
      <c r="I42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27" s="1" t="str">
        <f>LEFT(RIGHT(Table1[[#This Row],[Item]],6),1)</f>
        <v>N</v>
      </c>
      <c r="K427" s="1" t="str">
        <f t="shared" si="7"/>
        <v>N</v>
      </c>
      <c r="L427" s="1" t="str">
        <f>RIGHT(Table1[[#This Row],[Item]],2)</f>
        <v>BR</v>
      </c>
      <c r="M427" s="1" t="s">
        <v>33</v>
      </c>
      <c r="N427" s="3" t="s">
        <v>446</v>
      </c>
      <c r="O427" s="1"/>
    </row>
    <row r="428" spans="1:15" ht="15" customHeight="1">
      <c r="A428" t="s">
        <v>447</v>
      </c>
      <c r="B428" s="1" t="str">
        <f>LEFT(Table1[[#This Row],[Item]], FIND("-", Table1[[#This Row],[Item]]) - 1)</f>
        <v>GX10</v>
      </c>
      <c r="C428" s="1" t="str">
        <f>MID(LEFT(Table1[[#This Row],[Item]], FIND("{token}", SUBSTITUTE(Table1[[#This Row],[Item]], "-", "{token}", 2)) - 1), FIND("-", Table1[[#This Row],[Item]]) + 1, LEN(Table1[[#This Row],[Item]]))</f>
        <v>C</v>
      </c>
      <c r="D428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42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28" s="1" cm="1">
        <f t="array" ref="F428">VALUE(INDEX(_xlfn.TEXTSPLIT(Table1[[#This Row],[Item]], "-"), 5))</f>
        <v>1</v>
      </c>
      <c r="G428" s="1" cm="1">
        <f t="array" ref="G428">VALUE(INDEX(_xlfn.TEXTSPLIT(Table1[[#This Row],[Item]], "-"), 6))</f>
        <v>1</v>
      </c>
      <c r="H428" s="1" cm="1">
        <f t="array" ref="H428">VALUE(INDEX(_xlfn.TEXTSPLIT(Table1[[#This Row],[Item]], "-"), 7))</f>
        <v>0</v>
      </c>
      <c r="I42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28" s="1" t="str">
        <f>LEFT(RIGHT(Table1[[#This Row],[Item]],6),1)</f>
        <v>N</v>
      </c>
      <c r="K428" s="1" t="str">
        <f t="shared" si="7"/>
        <v>N</v>
      </c>
      <c r="L428" s="1" t="str">
        <f>RIGHT(Table1[[#This Row],[Item]],2)</f>
        <v>BR</v>
      </c>
      <c r="M428" s="1" t="s">
        <v>33</v>
      </c>
      <c r="N428" s="3" t="s">
        <v>447</v>
      </c>
      <c r="O428" s="1"/>
    </row>
    <row r="429" spans="1:15" ht="15" customHeight="1">
      <c r="A429" t="s">
        <v>448</v>
      </c>
      <c r="B429" s="1" t="str">
        <f>LEFT(Table1[[#This Row],[Item]], FIND("-", Table1[[#This Row],[Item]]) - 1)</f>
        <v>GX10</v>
      </c>
      <c r="C429" s="1" t="str">
        <f>MID(LEFT(Table1[[#This Row],[Item]], FIND("{token}", SUBSTITUTE(Table1[[#This Row],[Item]], "-", "{token}", 2)) - 1), FIND("-", Table1[[#This Row],[Item]]) + 1, LEN(Table1[[#This Row],[Item]]))</f>
        <v>C</v>
      </c>
      <c r="D429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42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29" s="1" cm="1">
        <f t="array" ref="F429">VALUE(INDEX(_xlfn.TEXTSPLIT(Table1[[#This Row],[Item]], "-"), 5))</f>
        <v>1</v>
      </c>
      <c r="G429" s="1" cm="1">
        <f t="array" ref="G429">VALUE(INDEX(_xlfn.TEXTSPLIT(Table1[[#This Row],[Item]], "-"), 6))</f>
        <v>2</v>
      </c>
      <c r="H429" s="1" cm="1">
        <f t="array" ref="H429">VALUE(INDEX(_xlfn.TEXTSPLIT(Table1[[#This Row],[Item]], "-"), 7))</f>
        <v>0</v>
      </c>
      <c r="I42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29" s="1" t="str">
        <f>LEFT(RIGHT(Table1[[#This Row],[Item]],6),1)</f>
        <v>N</v>
      </c>
      <c r="K429" s="1" t="str">
        <f t="shared" si="7"/>
        <v>N</v>
      </c>
      <c r="L429" s="1" t="str">
        <f>RIGHT(Table1[[#This Row],[Item]],2)</f>
        <v>BR</v>
      </c>
      <c r="M429" s="1" t="s">
        <v>33</v>
      </c>
      <c r="N429" s="3" t="s">
        <v>448</v>
      </c>
      <c r="O429" s="1"/>
    </row>
    <row r="430" spans="1:15" ht="15" customHeight="1">
      <c r="A430" t="s">
        <v>449</v>
      </c>
      <c r="B430" s="1" t="str">
        <f>LEFT(Table1[[#This Row],[Item]], FIND("-", Table1[[#This Row],[Item]]) - 1)</f>
        <v>GX10</v>
      </c>
      <c r="C430" s="1" t="str">
        <f>MID(LEFT(Table1[[#This Row],[Item]], FIND("{token}", SUBSTITUTE(Table1[[#This Row],[Item]], "-", "{token}", 2)) - 1), FIND("-", Table1[[#This Row],[Item]]) + 1, LEN(Table1[[#This Row],[Item]]))</f>
        <v>C</v>
      </c>
      <c r="D43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3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30" s="1" cm="1">
        <f t="array" ref="F430">VALUE(INDEX(_xlfn.TEXTSPLIT(Table1[[#This Row],[Item]], "-"), 5))</f>
        <v>1</v>
      </c>
      <c r="G430" s="1" cm="1">
        <f t="array" ref="G430">VALUE(INDEX(_xlfn.TEXTSPLIT(Table1[[#This Row],[Item]], "-"), 6))</f>
        <v>2</v>
      </c>
      <c r="H430" s="1" cm="1">
        <f t="array" ref="H430">VALUE(INDEX(_xlfn.TEXTSPLIT(Table1[[#This Row],[Item]], "-"), 7))</f>
        <v>0</v>
      </c>
      <c r="I43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30" s="1" t="str">
        <f>LEFT(RIGHT(Table1[[#This Row],[Item]],6),1)</f>
        <v>N</v>
      </c>
      <c r="K430" s="1" t="str">
        <f t="shared" si="7"/>
        <v>N</v>
      </c>
      <c r="L430" s="1" t="str">
        <f>RIGHT(Table1[[#This Row],[Item]],2)</f>
        <v>BR</v>
      </c>
      <c r="M430" s="1" t="s">
        <v>33</v>
      </c>
      <c r="N430" s="3" t="s">
        <v>449</v>
      </c>
      <c r="O430" s="1"/>
    </row>
    <row r="431" spans="1:15" ht="15" customHeight="1">
      <c r="A431" t="s">
        <v>450</v>
      </c>
      <c r="B431" s="1" t="str">
        <f>LEFT(Table1[[#This Row],[Item]], FIND("-", Table1[[#This Row],[Item]]) - 1)</f>
        <v>GX10</v>
      </c>
      <c r="C431" s="1" t="str">
        <f>MID(LEFT(Table1[[#This Row],[Item]], FIND("{token}", SUBSTITUTE(Table1[[#This Row],[Item]], "-", "{token}", 2)) - 1), FIND("-", Table1[[#This Row],[Item]]) + 1, LEN(Table1[[#This Row],[Item]]))</f>
        <v>C</v>
      </c>
      <c r="D431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43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31" s="1" cm="1">
        <f t="array" ref="F431">VALUE(INDEX(_xlfn.TEXTSPLIT(Table1[[#This Row],[Item]], "-"), 5))</f>
        <v>0</v>
      </c>
      <c r="G431" s="1" cm="1">
        <f t="array" ref="G431">VALUE(INDEX(_xlfn.TEXTSPLIT(Table1[[#This Row],[Item]], "-"), 6))</f>
        <v>2</v>
      </c>
      <c r="H431" s="1" cm="1">
        <f t="array" ref="H431">VALUE(INDEX(_xlfn.TEXTSPLIT(Table1[[#This Row],[Item]], "-"), 7))</f>
        <v>0</v>
      </c>
      <c r="I43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31" s="1" t="str">
        <f>LEFT(RIGHT(Table1[[#This Row],[Item]],6),1)</f>
        <v>N</v>
      </c>
      <c r="K431" s="1" t="str">
        <f t="shared" si="7"/>
        <v>N</v>
      </c>
      <c r="L431" s="1" t="str">
        <f>RIGHT(Table1[[#This Row],[Item]],2)</f>
        <v>BR</v>
      </c>
      <c r="M431" s="1" t="s">
        <v>33</v>
      </c>
      <c r="N431" s="3" t="s">
        <v>450</v>
      </c>
      <c r="O431" s="1"/>
    </row>
    <row r="432" spans="1:15" ht="15" customHeight="1">
      <c r="A432" t="s">
        <v>451</v>
      </c>
      <c r="B432" s="1" t="str">
        <f>LEFT(Table1[[#This Row],[Item]], FIND("-", Table1[[#This Row],[Item]]) - 1)</f>
        <v>GX10</v>
      </c>
      <c r="C432" s="1" t="str">
        <f>MID(LEFT(Table1[[#This Row],[Item]], FIND("{token}", SUBSTITUTE(Table1[[#This Row],[Item]], "-", "{token}", 2)) - 1), FIND("-", Table1[[#This Row],[Item]]) + 1, LEN(Table1[[#This Row],[Item]]))</f>
        <v>C</v>
      </c>
      <c r="D432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43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32" s="1" cm="1">
        <f t="array" ref="F432">VALUE(INDEX(_xlfn.TEXTSPLIT(Table1[[#This Row],[Item]], "-"), 5))</f>
        <v>1</v>
      </c>
      <c r="G432" s="1" cm="1">
        <f t="array" ref="G432">VALUE(INDEX(_xlfn.TEXTSPLIT(Table1[[#This Row],[Item]], "-"), 6))</f>
        <v>2</v>
      </c>
      <c r="H432" s="1" cm="1">
        <f t="array" ref="H432">VALUE(INDEX(_xlfn.TEXTSPLIT(Table1[[#This Row],[Item]], "-"), 7))</f>
        <v>0</v>
      </c>
      <c r="I43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32" s="1" t="str">
        <f>LEFT(RIGHT(Table1[[#This Row],[Item]],6),1)</f>
        <v>N</v>
      </c>
      <c r="K432" s="1" t="str">
        <f t="shared" si="7"/>
        <v>N</v>
      </c>
      <c r="L432" s="1" t="str">
        <f>RIGHT(Table1[[#This Row],[Item]],2)</f>
        <v>BR</v>
      </c>
      <c r="M432" s="1" t="s">
        <v>33</v>
      </c>
      <c r="N432" s="3" t="s">
        <v>451</v>
      </c>
      <c r="O432" s="1"/>
    </row>
    <row r="433" spans="1:15" ht="15" customHeight="1">
      <c r="A433" t="s">
        <v>452</v>
      </c>
      <c r="B433" s="1" t="str">
        <f>LEFT(Table1[[#This Row],[Item]], FIND("-", Table1[[#This Row],[Item]]) - 1)</f>
        <v>GX10</v>
      </c>
      <c r="C433" s="1" t="str">
        <f>MID(LEFT(Table1[[#This Row],[Item]], FIND("{token}", SUBSTITUTE(Table1[[#This Row],[Item]], "-", "{token}", 2)) - 1), FIND("-", Table1[[#This Row],[Item]]) + 1, LEN(Table1[[#This Row],[Item]]))</f>
        <v>CXL</v>
      </c>
      <c r="D43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3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33" s="1" cm="1">
        <f t="array" ref="F433">VALUE(INDEX(_xlfn.TEXTSPLIT(Table1[[#This Row],[Item]], "-"), 5))</f>
        <v>1</v>
      </c>
      <c r="G433" s="1" cm="1">
        <f t="array" ref="G433">VALUE(INDEX(_xlfn.TEXTSPLIT(Table1[[#This Row],[Item]], "-"), 6))</f>
        <v>2</v>
      </c>
      <c r="H433" s="1" cm="1">
        <f t="array" ref="H433">VALUE(INDEX(_xlfn.TEXTSPLIT(Table1[[#This Row],[Item]], "-"), 7))</f>
        <v>0</v>
      </c>
      <c r="I43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33" s="1" t="str">
        <f>LEFT(RIGHT(Table1[[#This Row],[Item]],6),1)</f>
        <v>N</v>
      </c>
      <c r="K433" s="1" t="str">
        <f t="shared" si="7"/>
        <v>N</v>
      </c>
      <c r="L433" s="1" t="str">
        <f>RIGHT(Table1[[#This Row],[Item]],2)</f>
        <v>BR</v>
      </c>
      <c r="M433" s="1" t="s">
        <v>33</v>
      </c>
      <c r="N433" s="3" t="s">
        <v>452</v>
      </c>
      <c r="O433" s="1"/>
    </row>
    <row r="434" spans="1:15" ht="15" customHeight="1">
      <c r="A434" t="s">
        <v>453</v>
      </c>
      <c r="B434" s="1" t="str">
        <f>LEFT(Table1[[#This Row],[Item]], FIND("-", Table1[[#This Row],[Item]]) - 1)</f>
        <v>GX10</v>
      </c>
      <c r="C434" s="1" t="str">
        <f>MID(LEFT(Table1[[#This Row],[Item]], FIND("{token}", SUBSTITUTE(Table1[[#This Row],[Item]], "-", "{token}", 2)) - 1), FIND("-", Table1[[#This Row],[Item]]) + 1, LEN(Table1[[#This Row],[Item]]))</f>
        <v>CXL</v>
      </c>
      <c r="D434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43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34" s="1" cm="1">
        <f t="array" ref="F434">VALUE(INDEX(_xlfn.TEXTSPLIT(Table1[[#This Row],[Item]], "-"), 5))</f>
        <v>1</v>
      </c>
      <c r="G434" s="1" cm="1">
        <f t="array" ref="G434">VALUE(INDEX(_xlfn.TEXTSPLIT(Table1[[#This Row],[Item]], "-"), 6))</f>
        <v>2</v>
      </c>
      <c r="H434" s="1" cm="1">
        <f t="array" ref="H434">VALUE(INDEX(_xlfn.TEXTSPLIT(Table1[[#This Row],[Item]], "-"), 7))</f>
        <v>0</v>
      </c>
      <c r="I43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34" s="1" t="str">
        <f>LEFT(RIGHT(Table1[[#This Row],[Item]],6),1)</f>
        <v>N</v>
      </c>
      <c r="K434" s="1" t="str">
        <f t="shared" si="7"/>
        <v>N</v>
      </c>
      <c r="L434" s="1" t="str">
        <f>RIGHT(Table1[[#This Row],[Item]],2)</f>
        <v>BR</v>
      </c>
      <c r="M434" s="1" t="s">
        <v>33</v>
      </c>
      <c r="N434" s="3" t="s">
        <v>453</v>
      </c>
      <c r="O434" s="1"/>
    </row>
    <row r="435" spans="1:15" ht="15" customHeight="1">
      <c r="A435" t="s">
        <v>454</v>
      </c>
      <c r="B435" s="1" t="str">
        <f>LEFT(Table1[[#This Row],[Item]], FIND("-", Table1[[#This Row],[Item]]) - 1)</f>
        <v>GX10</v>
      </c>
      <c r="C435" s="1" t="str">
        <f>MID(LEFT(Table1[[#This Row],[Item]], FIND("{token}", SUBSTITUTE(Table1[[#This Row],[Item]], "-", "{token}", 2)) - 1), FIND("-", Table1[[#This Row],[Item]]) + 1, LEN(Table1[[#This Row],[Item]]))</f>
        <v>CXL</v>
      </c>
      <c r="D43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3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435" s="1" cm="1">
        <f t="array" ref="F435">VALUE(INDEX(_xlfn.TEXTSPLIT(Table1[[#This Row],[Item]], "-"), 5))</f>
        <v>1</v>
      </c>
      <c r="G435" s="1" cm="1">
        <f t="array" ref="G435">VALUE(INDEX(_xlfn.TEXTSPLIT(Table1[[#This Row],[Item]], "-"), 6))</f>
        <v>1</v>
      </c>
      <c r="H435" s="1" cm="1">
        <f t="array" ref="H435">VALUE(INDEX(_xlfn.TEXTSPLIT(Table1[[#This Row],[Item]], "-"), 7))</f>
        <v>1</v>
      </c>
      <c r="I43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35" s="1" t="str">
        <f>LEFT(RIGHT(Table1[[#This Row],[Item]],6),1)</f>
        <v>N</v>
      </c>
      <c r="K435" s="1" t="str">
        <f t="shared" si="7"/>
        <v>N</v>
      </c>
      <c r="L435" s="1" t="str">
        <f>RIGHT(Table1[[#This Row],[Item]],2)</f>
        <v>BR</v>
      </c>
      <c r="M435" s="1" t="s">
        <v>33</v>
      </c>
      <c r="N435" s="3" t="s">
        <v>454</v>
      </c>
      <c r="O435" s="1"/>
    </row>
    <row r="436" spans="1:15" ht="15" customHeight="1">
      <c r="A436" t="s">
        <v>455</v>
      </c>
      <c r="B436" s="1" t="str">
        <f>LEFT(Table1[[#This Row],[Item]], FIND("-", Table1[[#This Row],[Item]]) - 1)</f>
        <v>GX10</v>
      </c>
      <c r="C436" s="1" t="str">
        <f>MID(LEFT(Table1[[#This Row],[Item]], FIND("{token}", SUBSTITUTE(Table1[[#This Row],[Item]], "-", "{token}", 2)) - 1), FIND("-", Table1[[#This Row],[Item]]) + 1, LEN(Table1[[#This Row],[Item]]))</f>
        <v>CXL</v>
      </c>
      <c r="D43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3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36" s="1" cm="1">
        <f t="array" ref="F436">VALUE(INDEX(_xlfn.TEXTSPLIT(Table1[[#This Row],[Item]], "-"), 5))</f>
        <v>1</v>
      </c>
      <c r="G436" s="1" cm="1">
        <f t="array" ref="G436">VALUE(INDEX(_xlfn.TEXTSPLIT(Table1[[#This Row],[Item]], "-"), 6))</f>
        <v>2</v>
      </c>
      <c r="H436" s="1" cm="1">
        <f t="array" ref="H436">VALUE(INDEX(_xlfn.TEXTSPLIT(Table1[[#This Row],[Item]], "-"), 7))</f>
        <v>0</v>
      </c>
      <c r="I43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36" s="1" t="str">
        <f>LEFT(RIGHT(Table1[[#This Row],[Item]],6),1)</f>
        <v>N</v>
      </c>
      <c r="K436" s="1" t="str">
        <f t="shared" si="7"/>
        <v>N</v>
      </c>
      <c r="L436" s="1" t="str">
        <f>RIGHT(Table1[[#This Row],[Item]],2)</f>
        <v>BR</v>
      </c>
      <c r="M436" s="1" t="s">
        <v>33</v>
      </c>
      <c r="N436" s="3" t="s">
        <v>455</v>
      </c>
      <c r="O436" s="1"/>
    </row>
    <row r="437" spans="1:15" ht="15" customHeight="1">
      <c r="A437" t="s">
        <v>456</v>
      </c>
      <c r="B437" s="1" t="str">
        <f>LEFT(Table1[[#This Row],[Item]], FIND("-", Table1[[#This Row],[Item]]) - 1)</f>
        <v>GX10</v>
      </c>
      <c r="C437" s="1" t="str">
        <f>MID(LEFT(Table1[[#This Row],[Item]], FIND("{token}", SUBSTITUTE(Table1[[#This Row],[Item]], "-", "{token}", 2)) - 1), FIND("-", Table1[[#This Row],[Item]]) + 1, LEN(Table1[[#This Row],[Item]]))</f>
        <v>CXL</v>
      </c>
      <c r="D437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43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37" s="1" cm="1">
        <f t="array" ref="F437">VALUE(INDEX(_xlfn.TEXTSPLIT(Table1[[#This Row],[Item]], "-"), 5))</f>
        <v>1</v>
      </c>
      <c r="G437" s="1" cm="1">
        <f t="array" ref="G437">VALUE(INDEX(_xlfn.TEXTSPLIT(Table1[[#This Row],[Item]], "-"), 6))</f>
        <v>2</v>
      </c>
      <c r="H437" s="1" cm="1">
        <f t="array" ref="H437">VALUE(INDEX(_xlfn.TEXTSPLIT(Table1[[#This Row],[Item]], "-"), 7))</f>
        <v>0</v>
      </c>
      <c r="I43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37" s="1" t="str">
        <f>LEFT(RIGHT(Table1[[#This Row],[Item]],6),1)</f>
        <v>N</v>
      </c>
      <c r="K437" s="1" t="str">
        <f t="shared" si="7"/>
        <v>N</v>
      </c>
      <c r="L437" s="1" t="str">
        <f>RIGHT(Table1[[#This Row],[Item]],2)</f>
        <v>BR</v>
      </c>
      <c r="M437" s="1" t="s">
        <v>33</v>
      </c>
      <c r="N437" s="3" t="s">
        <v>456</v>
      </c>
      <c r="O437" s="1"/>
    </row>
    <row r="438" spans="1:15" ht="15" customHeight="1">
      <c r="A438" t="s">
        <v>457</v>
      </c>
      <c r="B438" s="1" t="str">
        <f>LEFT(Table1[[#This Row],[Item]], FIND("-", Table1[[#This Row],[Item]]) - 1)</f>
        <v>GX10</v>
      </c>
      <c r="C438" s="1" t="str">
        <f>MID(LEFT(Table1[[#This Row],[Item]], FIND("{token}", SUBSTITUTE(Table1[[#This Row],[Item]], "-", "{token}", 2)) - 1), FIND("-", Table1[[#This Row],[Item]]) + 1, LEN(Table1[[#This Row],[Item]]))</f>
        <v>D</v>
      </c>
      <c r="D43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3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38" s="1" cm="1">
        <f t="array" ref="F438">VALUE(INDEX(_xlfn.TEXTSPLIT(Table1[[#This Row],[Item]], "-"), 5))</f>
        <v>1</v>
      </c>
      <c r="G438" s="1" cm="1">
        <f t="array" ref="G438">VALUE(INDEX(_xlfn.TEXTSPLIT(Table1[[#This Row],[Item]], "-"), 6))</f>
        <v>0</v>
      </c>
      <c r="H438" s="1" cm="1">
        <f t="array" ref="H438">VALUE(INDEX(_xlfn.TEXTSPLIT(Table1[[#This Row],[Item]], "-"), 7))</f>
        <v>1</v>
      </c>
      <c r="I43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38" s="1" t="str">
        <f>LEFT(RIGHT(Table1[[#This Row],[Item]],6),1)</f>
        <v>N</v>
      </c>
      <c r="K438" s="1" t="str">
        <f t="shared" si="7"/>
        <v>N</v>
      </c>
      <c r="L438" s="1" t="str">
        <f>RIGHT(Table1[[#This Row],[Item]],2)</f>
        <v>BR</v>
      </c>
      <c r="M438" s="1" t="s">
        <v>33</v>
      </c>
      <c r="N438" s="3" t="s">
        <v>457</v>
      </c>
      <c r="O438" s="1"/>
    </row>
    <row r="439" spans="1:15" ht="15" customHeight="1">
      <c r="A439" t="s">
        <v>458</v>
      </c>
      <c r="B439" s="1" t="str">
        <f>LEFT(Table1[[#This Row],[Item]], FIND("-", Table1[[#This Row],[Item]]) - 1)</f>
        <v>GX10</v>
      </c>
      <c r="C439" s="1" t="str">
        <f>MID(LEFT(Table1[[#This Row],[Item]], FIND("{token}", SUBSTITUTE(Table1[[#This Row],[Item]], "-", "{token}", 2)) - 1), FIND("-", Table1[[#This Row],[Item]]) + 1, LEN(Table1[[#This Row],[Item]]))</f>
        <v>D</v>
      </c>
      <c r="D43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3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39" s="1" cm="1">
        <f t="array" ref="F439">VALUE(INDEX(_xlfn.TEXTSPLIT(Table1[[#This Row],[Item]], "-"), 5))</f>
        <v>1</v>
      </c>
      <c r="G439" s="1" cm="1">
        <f t="array" ref="G439">VALUE(INDEX(_xlfn.TEXTSPLIT(Table1[[#This Row],[Item]], "-"), 6))</f>
        <v>1</v>
      </c>
      <c r="H439" s="1" cm="1">
        <f t="array" ref="H439">VALUE(INDEX(_xlfn.TEXTSPLIT(Table1[[#This Row],[Item]], "-"), 7))</f>
        <v>0</v>
      </c>
      <c r="I43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39" s="1" t="str">
        <f>LEFT(RIGHT(Table1[[#This Row],[Item]],6),1)</f>
        <v>N</v>
      </c>
      <c r="K439" s="1" t="str">
        <f t="shared" si="7"/>
        <v>N</v>
      </c>
      <c r="L439" s="1" t="str">
        <f>RIGHT(Table1[[#This Row],[Item]],2)</f>
        <v>BR</v>
      </c>
      <c r="M439" s="1" t="s">
        <v>33</v>
      </c>
      <c r="N439" s="3" t="s">
        <v>458</v>
      </c>
      <c r="O439" s="1"/>
    </row>
    <row r="440" spans="1:15" ht="15" customHeight="1">
      <c r="A440" t="s">
        <v>459</v>
      </c>
      <c r="B440" s="1" t="str">
        <f>LEFT(Table1[[#This Row],[Item]], FIND("-", Table1[[#This Row],[Item]]) - 1)</f>
        <v>GX10</v>
      </c>
      <c r="C440" s="1" t="str">
        <f>MID(LEFT(Table1[[#This Row],[Item]], FIND("{token}", SUBSTITUTE(Table1[[#This Row],[Item]], "-", "{token}", 2)) - 1), FIND("-", Table1[[#This Row],[Item]]) + 1, LEN(Table1[[#This Row],[Item]]))</f>
        <v>D</v>
      </c>
      <c r="D440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44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40" s="1" cm="1">
        <f t="array" ref="F440">VALUE(INDEX(_xlfn.TEXTSPLIT(Table1[[#This Row],[Item]], "-"), 5))</f>
        <v>1</v>
      </c>
      <c r="G440" s="1" cm="1">
        <f t="array" ref="G440">VALUE(INDEX(_xlfn.TEXTSPLIT(Table1[[#This Row],[Item]], "-"), 6))</f>
        <v>1</v>
      </c>
      <c r="H440" s="1" cm="1">
        <f t="array" ref="H440">VALUE(INDEX(_xlfn.TEXTSPLIT(Table1[[#This Row],[Item]], "-"), 7))</f>
        <v>0</v>
      </c>
      <c r="I44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40" s="1" t="str">
        <f>LEFT(RIGHT(Table1[[#This Row],[Item]],6),1)</f>
        <v>N</v>
      </c>
      <c r="K440" s="1" t="str">
        <f t="shared" si="7"/>
        <v>N</v>
      </c>
      <c r="L440" s="1" t="str">
        <f>RIGHT(Table1[[#This Row],[Item]],2)</f>
        <v>BR</v>
      </c>
      <c r="M440" s="1" t="s">
        <v>33</v>
      </c>
      <c r="N440" s="3" t="s">
        <v>459</v>
      </c>
      <c r="O440" s="1"/>
    </row>
    <row r="441" spans="1:15" ht="15" customHeight="1">
      <c r="A441" t="s">
        <v>460</v>
      </c>
      <c r="B441" s="1" t="str">
        <f>LEFT(Table1[[#This Row],[Item]], FIND("-", Table1[[#This Row],[Item]]) - 1)</f>
        <v>GX10</v>
      </c>
      <c r="C441" s="1" t="str">
        <f>MID(LEFT(Table1[[#This Row],[Item]], FIND("{token}", SUBSTITUTE(Table1[[#This Row],[Item]], "-", "{token}", 2)) - 1), FIND("-", Table1[[#This Row],[Item]]) + 1, LEN(Table1[[#This Row],[Item]]))</f>
        <v>D</v>
      </c>
      <c r="D44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4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41" s="1" cm="1">
        <f t="array" ref="F441">VALUE(INDEX(_xlfn.TEXTSPLIT(Table1[[#This Row],[Item]], "-"), 5))</f>
        <v>1</v>
      </c>
      <c r="G441" s="1" cm="1">
        <f t="array" ref="G441">VALUE(INDEX(_xlfn.TEXTSPLIT(Table1[[#This Row],[Item]], "-"), 6))</f>
        <v>1</v>
      </c>
      <c r="H441" s="1" cm="1">
        <f t="array" ref="H441">VALUE(INDEX(_xlfn.TEXTSPLIT(Table1[[#This Row],[Item]], "-"), 7))</f>
        <v>0</v>
      </c>
      <c r="I44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41" s="1" t="str">
        <f>LEFT(RIGHT(Table1[[#This Row],[Item]],6),1)</f>
        <v>N</v>
      </c>
      <c r="K441" s="1" t="str">
        <f t="shared" si="7"/>
        <v>N</v>
      </c>
      <c r="L441" s="1" t="str">
        <f>RIGHT(Table1[[#This Row],[Item]],2)</f>
        <v>BR</v>
      </c>
      <c r="M441" s="1" t="s">
        <v>33</v>
      </c>
      <c r="N441" s="3" t="s">
        <v>460</v>
      </c>
      <c r="O441" s="1"/>
    </row>
    <row r="442" spans="1:15" ht="15" customHeight="1">
      <c r="A442" t="s">
        <v>461</v>
      </c>
      <c r="B442" s="1" t="str">
        <f>LEFT(Table1[[#This Row],[Item]], FIND("-", Table1[[#This Row],[Item]]) - 1)</f>
        <v>GX10</v>
      </c>
      <c r="C442" s="1" t="str">
        <f>MID(LEFT(Table1[[#This Row],[Item]], FIND("{token}", SUBSTITUTE(Table1[[#This Row],[Item]], "-", "{token}", 2)) - 1), FIND("-", Table1[[#This Row],[Item]]) + 1, LEN(Table1[[#This Row],[Item]]))</f>
        <v>DXL</v>
      </c>
      <c r="D44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4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42" s="1" cm="1">
        <f t="array" ref="F442">VALUE(INDEX(_xlfn.TEXTSPLIT(Table1[[#This Row],[Item]], "-"), 5))</f>
        <v>1</v>
      </c>
      <c r="G442" s="1" cm="1">
        <f t="array" ref="G442">VALUE(INDEX(_xlfn.TEXTSPLIT(Table1[[#This Row],[Item]], "-"), 6))</f>
        <v>0</v>
      </c>
      <c r="H442" s="1" cm="1">
        <f t="array" ref="H442">VALUE(INDEX(_xlfn.TEXTSPLIT(Table1[[#This Row],[Item]], "-"), 7))</f>
        <v>1</v>
      </c>
      <c r="I44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42" s="1" t="str">
        <f>LEFT(RIGHT(Table1[[#This Row],[Item]],6),1)</f>
        <v>N</v>
      </c>
      <c r="K442" s="1" t="str">
        <f t="shared" si="7"/>
        <v>N</v>
      </c>
      <c r="L442" s="1" t="str">
        <f>RIGHT(Table1[[#This Row],[Item]],2)</f>
        <v>BR</v>
      </c>
      <c r="M442" s="1" t="s">
        <v>33</v>
      </c>
      <c r="N442" s="3" t="s">
        <v>461</v>
      </c>
      <c r="O442" s="1"/>
    </row>
    <row r="443" spans="1:15" ht="15" customHeight="1">
      <c r="A443" t="s">
        <v>462</v>
      </c>
      <c r="B443" s="1" t="str">
        <f>LEFT(Table1[[#This Row],[Item]], FIND("-", Table1[[#This Row],[Item]]) - 1)</f>
        <v>GX10</v>
      </c>
      <c r="C443" s="1" t="str">
        <f>MID(LEFT(Table1[[#This Row],[Item]], FIND("{token}", SUBSTITUTE(Table1[[#This Row],[Item]], "-", "{token}", 2)) - 1), FIND("-", Table1[[#This Row],[Item]]) + 1, LEN(Table1[[#This Row],[Item]]))</f>
        <v>DXL</v>
      </c>
      <c r="D44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4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43" s="1" cm="1">
        <f t="array" ref="F443">VALUE(INDEX(_xlfn.TEXTSPLIT(Table1[[#This Row],[Item]], "-"), 5))</f>
        <v>1</v>
      </c>
      <c r="G443" s="1" cm="1">
        <f t="array" ref="G443">VALUE(INDEX(_xlfn.TEXTSPLIT(Table1[[#This Row],[Item]], "-"), 6))</f>
        <v>1</v>
      </c>
      <c r="H443" s="1" cm="1">
        <f t="array" ref="H443">VALUE(INDEX(_xlfn.TEXTSPLIT(Table1[[#This Row],[Item]], "-"), 7))</f>
        <v>0</v>
      </c>
      <c r="I44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43" s="1" t="str">
        <f>LEFT(RIGHT(Table1[[#This Row],[Item]],6),1)</f>
        <v>N</v>
      </c>
      <c r="K443" s="1" t="str">
        <f t="shared" si="7"/>
        <v>N</v>
      </c>
      <c r="L443" s="1" t="str">
        <f>RIGHT(Table1[[#This Row],[Item]],2)</f>
        <v>BR</v>
      </c>
      <c r="M443" s="1" t="s">
        <v>33</v>
      </c>
      <c r="N443" s="3" t="s">
        <v>462</v>
      </c>
      <c r="O443" s="1"/>
    </row>
    <row r="444" spans="1:15" ht="15" customHeight="1">
      <c r="A444" t="s">
        <v>463</v>
      </c>
      <c r="B444" s="1" t="str">
        <f>LEFT(Table1[[#This Row],[Item]], FIND("-", Table1[[#This Row],[Item]]) - 1)</f>
        <v>GX10</v>
      </c>
      <c r="C444" s="1" t="str">
        <f>MID(LEFT(Table1[[#This Row],[Item]], FIND("{token}", SUBSTITUTE(Table1[[#This Row],[Item]], "-", "{token}", 2)) - 1), FIND("-", Table1[[#This Row],[Item]]) + 1, LEN(Table1[[#This Row],[Item]]))</f>
        <v>L</v>
      </c>
      <c r="D44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4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44" s="1" cm="1">
        <f t="array" ref="F444">VALUE(INDEX(_xlfn.TEXTSPLIT(Table1[[#This Row],[Item]], "-"), 5))</f>
        <v>1</v>
      </c>
      <c r="G444" s="1" cm="1">
        <f t="array" ref="G444">VALUE(INDEX(_xlfn.TEXTSPLIT(Table1[[#This Row],[Item]], "-"), 6))</f>
        <v>2</v>
      </c>
      <c r="H444" s="1" cm="1">
        <f t="array" ref="H444">VALUE(INDEX(_xlfn.TEXTSPLIT(Table1[[#This Row],[Item]], "-"), 7))</f>
        <v>0</v>
      </c>
      <c r="I44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44" s="1" t="str">
        <f>LEFT(RIGHT(Table1[[#This Row],[Item]],6),1)</f>
        <v>N</v>
      </c>
      <c r="K444" s="1" t="str">
        <f t="shared" si="7"/>
        <v>N</v>
      </c>
      <c r="L444" s="1" t="str">
        <f>RIGHT(Table1[[#This Row],[Item]],2)</f>
        <v>BR</v>
      </c>
      <c r="M444" s="1" t="s">
        <v>33</v>
      </c>
      <c r="N444" s="3" t="s">
        <v>463</v>
      </c>
      <c r="O444" s="1"/>
    </row>
    <row r="445" spans="1:15" ht="15" customHeight="1">
      <c r="A445" t="s">
        <v>464</v>
      </c>
      <c r="B445" s="1" t="str">
        <f>LEFT(Table1[[#This Row],[Item]], FIND("-", Table1[[#This Row],[Item]]) - 1)</f>
        <v>GX10</v>
      </c>
      <c r="C445" s="1" t="str">
        <f>MID(LEFT(Table1[[#This Row],[Item]], FIND("{token}", SUBSTITUTE(Table1[[#This Row],[Item]], "-", "{token}", 2)) - 1), FIND("-", Table1[[#This Row],[Item]]) + 1, LEN(Table1[[#This Row],[Item]]))</f>
        <v>R</v>
      </c>
      <c r="D445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4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45" s="1" cm="1">
        <f t="array" ref="F445">VALUE(INDEX(_xlfn.TEXTSPLIT(Table1[[#This Row],[Item]], "-"), 5))</f>
        <v>1</v>
      </c>
      <c r="G445" s="1" cm="1">
        <f t="array" ref="G445">VALUE(INDEX(_xlfn.TEXTSPLIT(Table1[[#This Row],[Item]], "-"), 6))</f>
        <v>2</v>
      </c>
      <c r="H445" s="1" cm="1">
        <f t="array" ref="H445">VALUE(INDEX(_xlfn.TEXTSPLIT(Table1[[#This Row],[Item]], "-"), 7))</f>
        <v>0</v>
      </c>
      <c r="I44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45" s="1" t="str">
        <f>LEFT(RIGHT(Table1[[#This Row],[Item]],6),1)</f>
        <v>N</v>
      </c>
      <c r="K445" s="1" t="str">
        <f t="shared" si="7"/>
        <v>N</v>
      </c>
      <c r="L445" s="1" t="str">
        <f>RIGHT(Table1[[#This Row],[Item]],2)</f>
        <v>BR</v>
      </c>
      <c r="M445" s="1" t="s">
        <v>33</v>
      </c>
      <c r="N445" s="3" t="s">
        <v>464</v>
      </c>
      <c r="O445" s="1"/>
    </row>
    <row r="446" spans="1:15" ht="15" customHeight="1">
      <c r="A446" t="s">
        <v>465</v>
      </c>
      <c r="B446" s="1" t="str">
        <f>LEFT(Table1[[#This Row],[Item]], FIND("-", Table1[[#This Row],[Item]]) - 1)</f>
        <v>GX12</v>
      </c>
      <c r="C446" s="1" t="str">
        <f>MID(LEFT(Table1[[#This Row],[Item]], FIND("{token}", SUBSTITUTE(Table1[[#This Row],[Item]], "-", "{token}", 2)) - 1), FIND("-", Table1[[#This Row],[Item]]) + 1, LEN(Table1[[#This Row],[Item]]))</f>
        <v>C</v>
      </c>
      <c r="D446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44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46" s="1" cm="1">
        <f t="array" ref="F446">VALUE(INDEX(_xlfn.TEXTSPLIT(Table1[[#This Row],[Item]], "-"), 5))</f>
        <v>2</v>
      </c>
      <c r="G446" s="1" cm="1">
        <f t="array" ref="G446">VALUE(INDEX(_xlfn.TEXTSPLIT(Table1[[#This Row],[Item]], "-"), 6))</f>
        <v>2</v>
      </c>
      <c r="H446" s="1" cm="1">
        <f t="array" ref="H446">VALUE(INDEX(_xlfn.TEXTSPLIT(Table1[[#This Row],[Item]], "-"), 7))</f>
        <v>0</v>
      </c>
      <c r="I44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46" s="1" t="str">
        <f>LEFT(RIGHT(Table1[[#This Row],[Item]],6),1)</f>
        <v>N</v>
      </c>
      <c r="K446" s="1" t="str">
        <f t="shared" si="7"/>
        <v>N</v>
      </c>
      <c r="L446" s="1" t="str">
        <f>RIGHT(Table1[[#This Row],[Item]],2)</f>
        <v>BR</v>
      </c>
      <c r="M446" s="1" t="s">
        <v>33</v>
      </c>
      <c r="N446" s="3" t="s">
        <v>465</v>
      </c>
      <c r="O446" s="1"/>
    </row>
    <row r="447" spans="1:15" ht="15" customHeight="1">
      <c r="A447" t="s">
        <v>466</v>
      </c>
      <c r="B447" s="1" t="str">
        <f>LEFT(Table1[[#This Row],[Item]], FIND("-", Table1[[#This Row],[Item]]) - 1)</f>
        <v>GX12</v>
      </c>
      <c r="C447" s="1" t="str">
        <f>MID(LEFT(Table1[[#This Row],[Item]], FIND("{token}", SUBSTITUTE(Table1[[#This Row],[Item]], "-", "{token}", 2)) - 1), FIND("-", Table1[[#This Row],[Item]]) + 1, LEN(Table1[[#This Row],[Item]]))</f>
        <v>C</v>
      </c>
      <c r="D44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4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47" s="1" cm="1">
        <f t="array" ref="F447">VALUE(INDEX(_xlfn.TEXTSPLIT(Table1[[#This Row],[Item]], "-"), 5))</f>
        <v>2</v>
      </c>
      <c r="G447" s="1" cm="1">
        <f t="array" ref="G447">VALUE(INDEX(_xlfn.TEXTSPLIT(Table1[[#This Row],[Item]], "-"), 6))</f>
        <v>2</v>
      </c>
      <c r="H447" s="1" cm="1">
        <f t="array" ref="H447">VALUE(INDEX(_xlfn.TEXTSPLIT(Table1[[#This Row],[Item]], "-"), 7))</f>
        <v>0</v>
      </c>
      <c r="I44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47" s="1" t="str">
        <f>LEFT(RIGHT(Table1[[#This Row],[Item]],6),1)</f>
        <v>N</v>
      </c>
      <c r="K447" s="1" t="str">
        <f t="shared" si="7"/>
        <v>N</v>
      </c>
      <c r="L447" s="1" t="str">
        <f>RIGHT(Table1[[#This Row],[Item]],2)</f>
        <v>BR</v>
      </c>
      <c r="M447" s="1" t="s">
        <v>33</v>
      </c>
      <c r="N447" s="3" t="s">
        <v>466</v>
      </c>
      <c r="O447" s="1"/>
    </row>
    <row r="448" spans="1:15" ht="15" customHeight="1">
      <c r="A448" t="s">
        <v>467</v>
      </c>
      <c r="B448" s="1" t="str">
        <f>LEFT(Table1[[#This Row],[Item]], FIND("-", Table1[[#This Row],[Item]]) - 1)</f>
        <v>GX12</v>
      </c>
      <c r="C448" s="1" t="str">
        <f>MID(LEFT(Table1[[#This Row],[Item]], FIND("{token}", SUBSTITUTE(Table1[[#This Row],[Item]], "-", "{token}", 2)) - 1), FIND("-", Table1[[#This Row],[Item]]) + 1, LEN(Table1[[#This Row],[Item]]))</f>
        <v>D</v>
      </c>
      <c r="D44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4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48" s="1" cm="1">
        <f t="array" ref="F448">VALUE(INDEX(_xlfn.TEXTSPLIT(Table1[[#This Row],[Item]], "-"), 5))</f>
        <v>1</v>
      </c>
      <c r="G448" s="1" cm="1">
        <f t="array" ref="G448">VALUE(INDEX(_xlfn.TEXTSPLIT(Table1[[#This Row],[Item]], "-"), 6))</f>
        <v>1</v>
      </c>
      <c r="H448" s="1" cm="1">
        <f t="array" ref="H448">VALUE(INDEX(_xlfn.TEXTSPLIT(Table1[[#This Row],[Item]], "-"), 7))</f>
        <v>1</v>
      </c>
      <c r="I44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48" s="1" t="str">
        <f>LEFT(RIGHT(Table1[[#This Row],[Item]],6),1)</f>
        <v>N</v>
      </c>
      <c r="K448" s="1" t="str">
        <f t="shared" si="7"/>
        <v>N</v>
      </c>
      <c r="L448" s="1" t="str">
        <f>RIGHT(Table1[[#This Row],[Item]],2)</f>
        <v>BR</v>
      </c>
      <c r="M448" s="1" t="s">
        <v>33</v>
      </c>
      <c r="N448" s="3" t="s">
        <v>467</v>
      </c>
      <c r="O448" s="1"/>
    </row>
    <row r="449" spans="1:15" ht="15" customHeight="1">
      <c r="A449" t="s">
        <v>468</v>
      </c>
      <c r="B449" s="1" t="str">
        <f>LEFT(Table1[[#This Row],[Item]], FIND("-", Table1[[#This Row],[Item]]) - 1)</f>
        <v>GX12</v>
      </c>
      <c r="C449" s="1" t="str">
        <f>MID(LEFT(Table1[[#This Row],[Item]], FIND("{token}", SUBSTITUTE(Table1[[#This Row],[Item]], "-", "{token}", 2)) - 1), FIND("-", Table1[[#This Row],[Item]]) + 1, LEN(Table1[[#This Row],[Item]]))</f>
        <v>D</v>
      </c>
      <c r="D44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4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49" s="1" cm="1">
        <f t="array" ref="F449">VALUE(INDEX(_xlfn.TEXTSPLIT(Table1[[#This Row],[Item]], "-"), 5))</f>
        <v>0</v>
      </c>
      <c r="G449" s="1" cm="1">
        <f t="array" ref="G449">VALUE(INDEX(_xlfn.TEXTSPLIT(Table1[[#This Row],[Item]], "-"), 6))</f>
        <v>2</v>
      </c>
      <c r="H449" s="1" cm="1">
        <f t="array" ref="H449">VALUE(INDEX(_xlfn.TEXTSPLIT(Table1[[#This Row],[Item]], "-"), 7))</f>
        <v>0</v>
      </c>
      <c r="I44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49" s="1" t="str">
        <f>LEFT(RIGHT(Table1[[#This Row],[Item]],6),1)</f>
        <v>N</v>
      </c>
      <c r="K449" s="1" t="str">
        <f t="shared" si="7"/>
        <v>N</v>
      </c>
      <c r="L449" s="1" t="str">
        <f>RIGHT(Table1[[#This Row],[Item]],2)</f>
        <v>BR</v>
      </c>
      <c r="M449" s="1" t="s">
        <v>33</v>
      </c>
      <c r="N449" s="3" t="s">
        <v>468</v>
      </c>
      <c r="O449" s="1"/>
    </row>
    <row r="450" spans="1:15" ht="15" customHeight="1">
      <c r="A450" t="s">
        <v>469</v>
      </c>
      <c r="B450" s="1" t="str">
        <f>LEFT(Table1[[#This Row],[Item]], FIND("-", Table1[[#This Row],[Item]]) - 1)</f>
        <v>GX12</v>
      </c>
      <c r="C450" s="1" t="str">
        <f>MID(LEFT(Table1[[#This Row],[Item]], FIND("{token}", SUBSTITUTE(Table1[[#This Row],[Item]], "-", "{token}", 2)) - 1), FIND("-", Table1[[#This Row],[Item]]) + 1, LEN(Table1[[#This Row],[Item]]))</f>
        <v>D</v>
      </c>
      <c r="D45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5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50" s="1" cm="1">
        <f t="array" ref="F450">VALUE(INDEX(_xlfn.TEXTSPLIT(Table1[[#This Row],[Item]], "-"), 5))</f>
        <v>1</v>
      </c>
      <c r="G450" s="1" cm="1">
        <f t="array" ref="G450">VALUE(INDEX(_xlfn.TEXTSPLIT(Table1[[#This Row],[Item]], "-"), 6))</f>
        <v>2</v>
      </c>
      <c r="H450" s="1" cm="1">
        <f t="array" ref="H450">VALUE(INDEX(_xlfn.TEXTSPLIT(Table1[[#This Row],[Item]], "-"), 7))</f>
        <v>0</v>
      </c>
      <c r="I45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50" s="1" t="str">
        <f>LEFT(RIGHT(Table1[[#This Row],[Item]],6),1)</f>
        <v>N</v>
      </c>
      <c r="K450" s="1" t="str">
        <f t="shared" si="7"/>
        <v>N</v>
      </c>
      <c r="L450" s="1" t="str">
        <f>RIGHT(Table1[[#This Row],[Item]],2)</f>
        <v>BR</v>
      </c>
      <c r="M450" s="1" t="s">
        <v>33</v>
      </c>
      <c r="N450" s="3" t="s">
        <v>469</v>
      </c>
      <c r="O450" s="1"/>
    </row>
    <row r="451" spans="1:15" ht="15" customHeight="1">
      <c r="A451" t="s">
        <v>470</v>
      </c>
      <c r="B451" s="1" t="str">
        <f>LEFT(Table1[[#This Row],[Item]], FIND("-", Table1[[#This Row],[Item]]) - 1)</f>
        <v>GX12</v>
      </c>
      <c r="C451" s="1" t="str">
        <f>MID(LEFT(Table1[[#This Row],[Item]], FIND("{token}", SUBSTITUTE(Table1[[#This Row],[Item]], "-", "{token}", 2)) - 1), FIND("-", Table1[[#This Row],[Item]]) + 1, LEN(Table1[[#This Row],[Item]]))</f>
        <v>D</v>
      </c>
      <c r="D45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5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51" s="1" cm="1">
        <f t="array" ref="F451">VALUE(INDEX(_xlfn.TEXTSPLIT(Table1[[#This Row],[Item]], "-"), 5))</f>
        <v>0</v>
      </c>
      <c r="G451" s="1" cm="1">
        <f t="array" ref="G451">VALUE(INDEX(_xlfn.TEXTSPLIT(Table1[[#This Row],[Item]], "-"), 6))</f>
        <v>0</v>
      </c>
      <c r="H451" s="1" cm="1">
        <f t="array" ref="H451">VALUE(INDEX(_xlfn.TEXTSPLIT(Table1[[#This Row],[Item]], "-"), 7))</f>
        <v>0</v>
      </c>
      <c r="I45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51" s="1" t="str">
        <f>LEFT(RIGHT(Table1[[#This Row],[Item]],6),1)</f>
        <v>N</v>
      </c>
      <c r="K451" s="1" t="str">
        <f t="shared" si="7"/>
        <v>N</v>
      </c>
      <c r="L451" s="1" t="str">
        <f>RIGHT(Table1[[#This Row],[Item]],2)</f>
        <v>BR</v>
      </c>
      <c r="M451" s="1" t="s">
        <v>33</v>
      </c>
      <c r="N451" s="3" t="s">
        <v>470</v>
      </c>
      <c r="O451" s="1"/>
    </row>
    <row r="452" spans="1:15" ht="15" customHeight="1">
      <c r="A452" t="s">
        <v>471</v>
      </c>
      <c r="B452" s="1" t="str">
        <f>LEFT(Table1[[#This Row],[Item]], FIND("-", Table1[[#This Row],[Item]]) - 1)</f>
        <v>GX12</v>
      </c>
      <c r="C452" s="1" t="str">
        <f>MID(LEFT(Table1[[#This Row],[Item]], FIND("{token}", SUBSTITUTE(Table1[[#This Row],[Item]], "-", "{token}", 2)) - 1), FIND("-", Table1[[#This Row],[Item]]) + 1, LEN(Table1[[#This Row],[Item]]))</f>
        <v>D</v>
      </c>
      <c r="D45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5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52" s="1" cm="1">
        <f t="array" ref="F452">VALUE(INDEX(_xlfn.TEXTSPLIT(Table1[[#This Row],[Item]], "-"), 5))</f>
        <v>1</v>
      </c>
      <c r="G452" s="1" cm="1">
        <f t="array" ref="G452">VALUE(INDEX(_xlfn.TEXTSPLIT(Table1[[#This Row],[Item]], "-"), 6))</f>
        <v>2</v>
      </c>
      <c r="H452" s="1" cm="1">
        <f t="array" ref="H452">VALUE(INDEX(_xlfn.TEXTSPLIT(Table1[[#This Row],[Item]], "-"), 7))</f>
        <v>0</v>
      </c>
      <c r="I45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52" s="1" t="str">
        <f>LEFT(RIGHT(Table1[[#This Row],[Item]],6),1)</f>
        <v>N</v>
      </c>
      <c r="K452" s="1" t="str">
        <f t="shared" si="7"/>
        <v>N</v>
      </c>
      <c r="L452" s="1" t="str">
        <f>RIGHT(Table1[[#This Row],[Item]],2)</f>
        <v>BR</v>
      </c>
      <c r="M452" s="1" t="s">
        <v>33</v>
      </c>
      <c r="N452" s="3" t="s">
        <v>471</v>
      </c>
      <c r="O452" s="1"/>
    </row>
    <row r="453" spans="1:15" ht="15" customHeight="1">
      <c r="A453" t="s">
        <v>472</v>
      </c>
      <c r="B453" s="1" t="str">
        <f>LEFT(Table1[[#This Row],[Item]], FIND("-", Table1[[#This Row],[Item]]) - 1)</f>
        <v>GX12</v>
      </c>
      <c r="C453" s="1" t="str">
        <f>MID(LEFT(Table1[[#This Row],[Item]], FIND("{token}", SUBSTITUTE(Table1[[#This Row],[Item]], "-", "{token}", 2)) - 1), FIND("-", Table1[[#This Row],[Item]]) + 1, LEN(Table1[[#This Row],[Item]]))</f>
        <v>D</v>
      </c>
      <c r="D453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45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53" s="1" cm="1">
        <f t="array" ref="F453">VALUE(INDEX(_xlfn.TEXTSPLIT(Table1[[#This Row],[Item]], "-"), 5))</f>
        <v>1</v>
      </c>
      <c r="G453" s="1" cm="1">
        <f t="array" ref="G453">VALUE(INDEX(_xlfn.TEXTSPLIT(Table1[[#This Row],[Item]], "-"), 6))</f>
        <v>2</v>
      </c>
      <c r="H453" s="1" cm="1">
        <f t="array" ref="H453">VALUE(INDEX(_xlfn.TEXTSPLIT(Table1[[#This Row],[Item]], "-"), 7))</f>
        <v>0</v>
      </c>
      <c r="I45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53" s="1" t="str">
        <f>LEFT(RIGHT(Table1[[#This Row],[Item]],6),1)</f>
        <v>N</v>
      </c>
      <c r="K453" s="1" t="str">
        <f t="shared" si="7"/>
        <v>N</v>
      </c>
      <c r="L453" s="1" t="str">
        <f>RIGHT(Table1[[#This Row],[Item]],2)</f>
        <v>BR</v>
      </c>
      <c r="M453" s="1" t="s">
        <v>33</v>
      </c>
      <c r="N453" s="3" t="s">
        <v>472</v>
      </c>
      <c r="O453" s="1"/>
    </row>
    <row r="454" spans="1:15" ht="15" customHeight="1">
      <c r="A454" t="s">
        <v>473</v>
      </c>
      <c r="B454" s="1" t="str">
        <f>LEFT(Table1[[#This Row],[Item]], FIND("-", Table1[[#This Row],[Item]]) - 1)</f>
        <v>GX12</v>
      </c>
      <c r="C454" s="1" t="str">
        <f>MID(LEFT(Table1[[#This Row],[Item]], FIND("{token}", SUBSTITUTE(Table1[[#This Row],[Item]], "-", "{token}", 2)) - 1), FIND("-", Table1[[#This Row],[Item]]) + 1, LEN(Table1[[#This Row],[Item]]))</f>
        <v>DXL</v>
      </c>
      <c r="D45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5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54" s="1" cm="1">
        <f t="array" ref="F454">VALUE(INDEX(_xlfn.TEXTSPLIT(Table1[[#This Row],[Item]], "-"), 5))</f>
        <v>1</v>
      </c>
      <c r="G454" s="1" cm="1">
        <f t="array" ref="G454">VALUE(INDEX(_xlfn.TEXTSPLIT(Table1[[#This Row],[Item]], "-"), 6))</f>
        <v>1</v>
      </c>
      <c r="H454" s="1" cm="1">
        <f t="array" ref="H454">VALUE(INDEX(_xlfn.TEXTSPLIT(Table1[[#This Row],[Item]], "-"), 7))</f>
        <v>1</v>
      </c>
      <c r="I45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54" s="1" t="str">
        <f>LEFT(RIGHT(Table1[[#This Row],[Item]],6),1)</f>
        <v>N</v>
      </c>
      <c r="K454" s="1" t="str">
        <f t="shared" si="7"/>
        <v>N</v>
      </c>
      <c r="L454" s="1" t="str">
        <f>RIGHT(Table1[[#This Row],[Item]],2)</f>
        <v>BR</v>
      </c>
      <c r="M454" s="1" t="s">
        <v>33</v>
      </c>
      <c r="N454" s="3" t="s">
        <v>473</v>
      </c>
      <c r="O454" s="1"/>
    </row>
    <row r="455" spans="1:15" ht="15" customHeight="1">
      <c r="A455" t="s">
        <v>474</v>
      </c>
      <c r="B455" s="1" t="str">
        <f>LEFT(Table1[[#This Row],[Item]], FIND("-", Table1[[#This Row],[Item]]) - 1)</f>
        <v>GX12</v>
      </c>
      <c r="C455" s="1" t="str">
        <f>MID(LEFT(Table1[[#This Row],[Item]], FIND("{token}", SUBSTITUTE(Table1[[#This Row],[Item]], "-", "{token}", 2)) - 1), FIND("-", Table1[[#This Row],[Item]]) + 1, LEN(Table1[[#This Row],[Item]]))</f>
        <v>DXL</v>
      </c>
      <c r="D45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5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55" s="1" cm="1">
        <f t="array" ref="F455">VALUE(INDEX(_xlfn.TEXTSPLIT(Table1[[#This Row],[Item]], "-"), 5))</f>
        <v>1</v>
      </c>
      <c r="G455" s="1" cm="1">
        <f t="array" ref="G455">VALUE(INDEX(_xlfn.TEXTSPLIT(Table1[[#This Row],[Item]], "-"), 6))</f>
        <v>2</v>
      </c>
      <c r="H455" s="1" cm="1">
        <f t="array" ref="H455">VALUE(INDEX(_xlfn.TEXTSPLIT(Table1[[#This Row],[Item]], "-"), 7))</f>
        <v>0</v>
      </c>
      <c r="I45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55" s="1" t="str">
        <f>LEFT(RIGHT(Table1[[#This Row],[Item]],6),1)</f>
        <v>N</v>
      </c>
      <c r="K455" s="1" t="str">
        <f t="shared" si="7"/>
        <v>N</v>
      </c>
      <c r="L455" s="1" t="str">
        <f>RIGHT(Table1[[#This Row],[Item]],2)</f>
        <v>BR</v>
      </c>
      <c r="M455" s="1" t="s">
        <v>33</v>
      </c>
      <c r="N455" s="3" t="s">
        <v>474</v>
      </c>
      <c r="O455" s="1"/>
    </row>
    <row r="456" spans="1:15" ht="15" customHeight="1">
      <c r="A456" t="s">
        <v>475</v>
      </c>
      <c r="B456" s="1" t="str">
        <f>LEFT(Table1[[#This Row],[Item]], FIND("-", Table1[[#This Row],[Item]]) - 1)</f>
        <v>GX12</v>
      </c>
      <c r="C456" s="1" t="str">
        <f>MID(LEFT(Table1[[#This Row],[Item]], FIND("{token}", SUBSTITUTE(Table1[[#This Row],[Item]], "-", "{token}", 2)) - 1), FIND("-", Table1[[#This Row],[Item]]) + 1, LEN(Table1[[#This Row],[Item]]))</f>
        <v>L</v>
      </c>
      <c r="D45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5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56" s="1" cm="1">
        <f t="array" ref="F456">VALUE(INDEX(_xlfn.TEXTSPLIT(Table1[[#This Row],[Item]], "-"), 5))</f>
        <v>2</v>
      </c>
      <c r="G456" s="1" cm="1">
        <f t="array" ref="G456">VALUE(INDEX(_xlfn.TEXTSPLIT(Table1[[#This Row],[Item]], "-"), 6))</f>
        <v>0</v>
      </c>
      <c r="H456" s="1" cm="1">
        <f t="array" ref="H456">VALUE(INDEX(_xlfn.TEXTSPLIT(Table1[[#This Row],[Item]], "-"), 7))</f>
        <v>0</v>
      </c>
      <c r="I45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56" s="1" t="str">
        <f>LEFT(RIGHT(Table1[[#This Row],[Item]],6),1)</f>
        <v>N</v>
      </c>
      <c r="K456" s="1" t="str">
        <f t="shared" si="7"/>
        <v>N</v>
      </c>
      <c r="L456" s="1" t="str">
        <f>RIGHT(Table1[[#This Row],[Item]],2)</f>
        <v>BR</v>
      </c>
      <c r="M456" s="1" t="s">
        <v>33</v>
      </c>
      <c r="N456" s="3" t="s">
        <v>475</v>
      </c>
      <c r="O456" s="1"/>
    </row>
    <row r="457" spans="1:15" ht="15" customHeight="1">
      <c r="A457" t="s">
        <v>476</v>
      </c>
      <c r="B457" s="1" t="str">
        <f>LEFT(Table1[[#This Row],[Item]], FIND("-", Table1[[#This Row],[Item]]) - 1)</f>
        <v>GX14</v>
      </c>
      <c r="C457" s="1" t="str">
        <f>MID(LEFT(Table1[[#This Row],[Item]], FIND("{token}", SUBSTITUTE(Table1[[#This Row],[Item]], "-", "{token}", 2)) - 1), FIND("-", Table1[[#This Row],[Item]]) + 1, LEN(Table1[[#This Row],[Item]]))</f>
        <v>C</v>
      </c>
      <c r="D457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45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57" s="1" cm="1">
        <f t="array" ref="F457">VALUE(INDEX(_xlfn.TEXTSPLIT(Table1[[#This Row],[Item]], "-"), 5))</f>
        <v>2</v>
      </c>
      <c r="G457" s="1" cm="1">
        <f t="array" ref="G457">VALUE(INDEX(_xlfn.TEXTSPLIT(Table1[[#This Row],[Item]], "-"), 6))</f>
        <v>2</v>
      </c>
      <c r="H457" s="1" cm="1">
        <f t="array" ref="H457">VALUE(INDEX(_xlfn.TEXTSPLIT(Table1[[#This Row],[Item]], "-"), 7))</f>
        <v>0</v>
      </c>
      <c r="I45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57" s="1" t="str">
        <f>LEFT(RIGHT(Table1[[#This Row],[Item]],6),1)</f>
        <v>N</v>
      </c>
      <c r="K457" s="1" t="str">
        <f t="shared" si="7"/>
        <v>N</v>
      </c>
      <c r="L457" s="1" t="str">
        <f>RIGHT(Table1[[#This Row],[Item]],2)</f>
        <v>BR</v>
      </c>
      <c r="M457" s="1" t="s">
        <v>33</v>
      </c>
      <c r="N457" s="3" t="s">
        <v>476</v>
      </c>
      <c r="O457" s="1"/>
    </row>
    <row r="458" spans="1:15" ht="15" customHeight="1">
      <c r="A458" t="s">
        <v>477</v>
      </c>
      <c r="B458" s="1" t="str">
        <f>LEFT(Table1[[#This Row],[Item]], FIND("-", Table1[[#This Row],[Item]]) - 1)</f>
        <v>GX14</v>
      </c>
      <c r="C458" s="1" t="str">
        <f>MID(LEFT(Table1[[#This Row],[Item]], FIND("{token}", SUBSTITUTE(Table1[[#This Row],[Item]], "-", "{token}", 2)) - 1), FIND("-", Table1[[#This Row],[Item]]) + 1, LEN(Table1[[#This Row],[Item]]))</f>
        <v>C</v>
      </c>
      <c r="D458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45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58" s="1" cm="1">
        <f t="array" ref="F458">VALUE(INDEX(_xlfn.TEXTSPLIT(Table1[[#This Row],[Item]], "-"), 5))</f>
        <v>0</v>
      </c>
      <c r="G458" s="1" cm="1">
        <f t="array" ref="G458">VALUE(INDEX(_xlfn.TEXTSPLIT(Table1[[#This Row],[Item]], "-"), 6))</f>
        <v>2</v>
      </c>
      <c r="H458" s="1" cm="1">
        <f t="array" ref="H458">VALUE(INDEX(_xlfn.TEXTSPLIT(Table1[[#This Row],[Item]], "-"), 7))</f>
        <v>0</v>
      </c>
      <c r="I45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58" s="1" t="str">
        <f>LEFT(RIGHT(Table1[[#This Row],[Item]],6),1)</f>
        <v>N</v>
      </c>
      <c r="K458" s="1" t="str">
        <f t="shared" si="7"/>
        <v>N</v>
      </c>
      <c r="L458" s="1" t="str">
        <f>RIGHT(Table1[[#This Row],[Item]],2)</f>
        <v>BR</v>
      </c>
      <c r="M458" s="1" t="s">
        <v>33</v>
      </c>
      <c r="N458" s="3" t="s">
        <v>477</v>
      </c>
      <c r="O458" s="1"/>
    </row>
    <row r="459" spans="1:15" ht="15" customHeight="1">
      <c r="A459" t="s">
        <v>478</v>
      </c>
      <c r="B459" s="1" t="str">
        <f>LEFT(Table1[[#This Row],[Item]], FIND("-", Table1[[#This Row],[Item]]) - 1)</f>
        <v>GX14</v>
      </c>
      <c r="C459" s="1" t="str">
        <f>MID(LEFT(Table1[[#This Row],[Item]], FIND("{token}", SUBSTITUTE(Table1[[#This Row],[Item]], "-", "{token}", 2)) - 1), FIND("-", Table1[[#This Row],[Item]]) + 1, LEN(Table1[[#This Row],[Item]]))</f>
        <v>CXL</v>
      </c>
      <c r="D459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45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59" s="1" cm="1">
        <f t="array" ref="F459">VALUE(INDEX(_xlfn.TEXTSPLIT(Table1[[#This Row],[Item]], "-"), 5))</f>
        <v>2</v>
      </c>
      <c r="G459" s="1" cm="1">
        <f t="array" ref="G459">VALUE(INDEX(_xlfn.TEXTSPLIT(Table1[[#This Row],[Item]], "-"), 6))</f>
        <v>2</v>
      </c>
      <c r="H459" s="1" cm="1">
        <f t="array" ref="H459">VALUE(INDEX(_xlfn.TEXTSPLIT(Table1[[#This Row],[Item]], "-"), 7))</f>
        <v>0</v>
      </c>
      <c r="I45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59" s="1" t="str">
        <f>LEFT(RIGHT(Table1[[#This Row],[Item]],6),1)</f>
        <v>N</v>
      </c>
      <c r="K459" s="1" t="str">
        <f t="shared" si="7"/>
        <v>N</v>
      </c>
      <c r="L459" s="1" t="str">
        <f>RIGHT(Table1[[#This Row],[Item]],2)</f>
        <v>BR</v>
      </c>
      <c r="M459" s="1" t="s">
        <v>33</v>
      </c>
      <c r="N459" s="3" t="s">
        <v>478</v>
      </c>
      <c r="O459" s="1"/>
    </row>
    <row r="460" spans="1:15" ht="15" customHeight="1">
      <c r="A460" t="s">
        <v>479</v>
      </c>
      <c r="B460" s="1" t="str">
        <f>LEFT(Table1[[#This Row],[Item]], FIND("-", Table1[[#This Row],[Item]]) - 1)</f>
        <v>GX14</v>
      </c>
      <c r="C460" s="1" t="str">
        <f>MID(LEFT(Table1[[#This Row],[Item]], FIND("{token}", SUBSTITUTE(Table1[[#This Row],[Item]], "-", "{token}", 2)) - 1), FIND("-", Table1[[#This Row],[Item]]) + 1, LEN(Table1[[#This Row],[Item]]))</f>
        <v>CXL</v>
      </c>
      <c r="D46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6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60" s="1" cm="1">
        <f t="array" ref="F460">VALUE(INDEX(_xlfn.TEXTSPLIT(Table1[[#This Row],[Item]], "-"), 5))</f>
        <v>1</v>
      </c>
      <c r="G460" s="1" cm="1">
        <f t="array" ref="G460">VALUE(INDEX(_xlfn.TEXTSPLIT(Table1[[#This Row],[Item]], "-"), 6))</f>
        <v>2</v>
      </c>
      <c r="H460" s="1" cm="1">
        <f t="array" ref="H460">VALUE(INDEX(_xlfn.TEXTSPLIT(Table1[[#This Row],[Item]], "-"), 7))</f>
        <v>0</v>
      </c>
      <c r="I46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60" s="1" t="str">
        <f>LEFT(RIGHT(Table1[[#This Row],[Item]],6),1)</f>
        <v>N</v>
      </c>
      <c r="K460" s="1" t="str">
        <f t="shared" si="7"/>
        <v>N</v>
      </c>
      <c r="L460" s="1" t="str">
        <f>RIGHT(Table1[[#This Row],[Item]],2)</f>
        <v>BR</v>
      </c>
      <c r="M460" s="1" t="s">
        <v>33</v>
      </c>
      <c r="N460" s="3" t="s">
        <v>479</v>
      </c>
      <c r="O460" s="1"/>
    </row>
    <row r="461" spans="1:15" ht="15" customHeight="1">
      <c r="A461" t="s">
        <v>480</v>
      </c>
      <c r="B461" s="1" t="str">
        <f>LEFT(Table1[[#This Row],[Item]], FIND("-", Table1[[#This Row],[Item]]) - 1)</f>
        <v>GX14</v>
      </c>
      <c r="C461" s="1" t="str">
        <f>MID(LEFT(Table1[[#This Row],[Item]], FIND("{token}", SUBSTITUTE(Table1[[#This Row],[Item]], "-", "{token}", 2)) - 1), FIND("-", Table1[[#This Row],[Item]]) + 1, LEN(Table1[[#This Row],[Item]]))</f>
        <v>D</v>
      </c>
      <c r="D46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6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461" s="1" cm="1">
        <f t="array" ref="F461">VALUE(INDEX(_xlfn.TEXTSPLIT(Table1[[#This Row],[Item]], "-"), 5))</f>
        <v>2</v>
      </c>
      <c r="G461" s="1" cm="1">
        <f t="array" ref="G461">VALUE(INDEX(_xlfn.TEXTSPLIT(Table1[[#This Row],[Item]], "-"), 6))</f>
        <v>0</v>
      </c>
      <c r="H461" s="1" cm="1">
        <f t="array" ref="H461">VALUE(INDEX(_xlfn.TEXTSPLIT(Table1[[#This Row],[Item]], "-"), 7))</f>
        <v>2</v>
      </c>
      <c r="I46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61" s="1" t="str">
        <f>LEFT(RIGHT(Table1[[#This Row],[Item]],6),1)</f>
        <v>N</v>
      </c>
      <c r="K461" s="1" t="str">
        <f t="shared" si="7"/>
        <v>N</v>
      </c>
      <c r="L461" s="1" t="str">
        <f>RIGHT(Table1[[#This Row],[Item]],2)</f>
        <v>BR</v>
      </c>
      <c r="M461" s="1" t="s">
        <v>33</v>
      </c>
      <c r="N461" s="3" t="s">
        <v>480</v>
      </c>
      <c r="O461" s="1"/>
    </row>
    <row r="462" spans="1:15" ht="15" customHeight="1">
      <c r="A462" t="s">
        <v>481</v>
      </c>
      <c r="B462" s="1" t="str">
        <f>LEFT(Table1[[#This Row],[Item]], FIND("-", Table1[[#This Row],[Item]]) - 1)</f>
        <v>GX14</v>
      </c>
      <c r="C462" s="1" t="str">
        <f>MID(LEFT(Table1[[#This Row],[Item]], FIND("{token}", SUBSTITUTE(Table1[[#This Row],[Item]], "-", "{token}", 2)) - 1), FIND("-", Table1[[#This Row],[Item]]) + 1, LEN(Table1[[#This Row],[Item]]))</f>
        <v>D</v>
      </c>
      <c r="D462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6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62" s="1" cm="1">
        <f t="array" ref="F462">VALUE(INDEX(_xlfn.TEXTSPLIT(Table1[[#This Row],[Item]], "-"), 5))</f>
        <v>1</v>
      </c>
      <c r="G462" s="1" cm="1">
        <f t="array" ref="G462">VALUE(INDEX(_xlfn.TEXTSPLIT(Table1[[#This Row],[Item]], "-"), 6))</f>
        <v>2</v>
      </c>
      <c r="H462" s="1" cm="1">
        <f t="array" ref="H462">VALUE(INDEX(_xlfn.TEXTSPLIT(Table1[[#This Row],[Item]], "-"), 7))</f>
        <v>0</v>
      </c>
      <c r="I46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62" s="1" t="str">
        <f>LEFT(RIGHT(Table1[[#This Row],[Item]],6),1)</f>
        <v>N</v>
      </c>
      <c r="K462" s="1" t="str">
        <f t="shared" ref="K462:K525" si="8">MID(A462, LEN(A462)-3, 1)</f>
        <v>N</v>
      </c>
      <c r="L462" s="1" t="str">
        <f>RIGHT(Table1[[#This Row],[Item]],2)</f>
        <v>BR</v>
      </c>
      <c r="M462" s="1" t="s">
        <v>33</v>
      </c>
      <c r="N462" s="3" t="s">
        <v>481</v>
      </c>
      <c r="O462" s="1"/>
    </row>
    <row r="463" spans="1:15" ht="15" customHeight="1">
      <c r="A463" t="s">
        <v>482</v>
      </c>
      <c r="B463" s="1" t="str">
        <f>LEFT(Table1[[#This Row],[Item]], FIND("-", Table1[[#This Row],[Item]]) - 1)</f>
        <v>GX14</v>
      </c>
      <c r="C463" s="1" t="str">
        <f>MID(LEFT(Table1[[#This Row],[Item]], FIND("{token}", SUBSTITUTE(Table1[[#This Row],[Item]], "-", "{token}", 2)) - 1), FIND("-", Table1[[#This Row],[Item]]) + 1, LEN(Table1[[#This Row],[Item]]))</f>
        <v>D</v>
      </c>
      <c r="D46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6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63" s="1" cm="1">
        <f t="array" ref="F463">VALUE(INDEX(_xlfn.TEXTSPLIT(Table1[[#This Row],[Item]], "-"), 5))</f>
        <v>2</v>
      </c>
      <c r="G463" s="1" cm="1">
        <f t="array" ref="G463">VALUE(INDEX(_xlfn.TEXTSPLIT(Table1[[#This Row],[Item]], "-"), 6))</f>
        <v>2</v>
      </c>
      <c r="H463" s="1" cm="1">
        <f t="array" ref="H463">VALUE(INDEX(_xlfn.TEXTSPLIT(Table1[[#This Row],[Item]], "-"), 7))</f>
        <v>0</v>
      </c>
      <c r="I46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63" s="1" t="str">
        <f>LEFT(RIGHT(Table1[[#This Row],[Item]],6),1)</f>
        <v>N</v>
      </c>
      <c r="K463" s="1" t="str">
        <f t="shared" si="8"/>
        <v>N</v>
      </c>
      <c r="L463" s="1" t="str">
        <f>RIGHT(Table1[[#This Row],[Item]],2)</f>
        <v>BR</v>
      </c>
      <c r="M463" s="1" t="s">
        <v>33</v>
      </c>
      <c r="N463" s="3" t="s">
        <v>482</v>
      </c>
      <c r="O463" s="1"/>
    </row>
    <row r="464" spans="1:15" ht="15" customHeight="1">
      <c r="A464" t="s">
        <v>483</v>
      </c>
      <c r="B464" s="1" t="str">
        <f>LEFT(Table1[[#This Row],[Item]], FIND("-", Table1[[#This Row],[Item]]) - 1)</f>
        <v>GX14</v>
      </c>
      <c r="C464" s="1" t="str">
        <f>MID(LEFT(Table1[[#This Row],[Item]], FIND("{token}", SUBSTITUTE(Table1[[#This Row],[Item]], "-", "{token}", 2)) - 1), FIND("-", Table1[[#This Row],[Item]]) + 1, LEN(Table1[[#This Row],[Item]]))</f>
        <v>D</v>
      </c>
      <c r="D464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46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64" s="1" cm="1">
        <f t="array" ref="F464">VALUE(INDEX(_xlfn.TEXTSPLIT(Table1[[#This Row],[Item]], "-"), 5))</f>
        <v>2</v>
      </c>
      <c r="G464" s="1" cm="1">
        <f t="array" ref="G464">VALUE(INDEX(_xlfn.TEXTSPLIT(Table1[[#This Row],[Item]], "-"), 6))</f>
        <v>2</v>
      </c>
      <c r="H464" s="1" cm="1">
        <f t="array" ref="H464">VALUE(INDEX(_xlfn.TEXTSPLIT(Table1[[#This Row],[Item]], "-"), 7))</f>
        <v>0</v>
      </c>
      <c r="I46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64" s="1" t="str">
        <f>LEFT(RIGHT(Table1[[#This Row],[Item]],6),1)</f>
        <v>N</v>
      </c>
      <c r="K464" s="1" t="str">
        <f t="shared" si="8"/>
        <v>N</v>
      </c>
      <c r="L464" s="1" t="str">
        <f>RIGHT(Table1[[#This Row],[Item]],2)</f>
        <v>BR</v>
      </c>
      <c r="M464" s="1" t="s">
        <v>33</v>
      </c>
      <c r="N464" s="3" t="s">
        <v>483</v>
      </c>
      <c r="O464" s="1"/>
    </row>
    <row r="465" spans="1:15" ht="15" customHeight="1">
      <c r="A465" t="s">
        <v>484</v>
      </c>
      <c r="B465" s="1" t="str">
        <f>LEFT(Table1[[#This Row],[Item]], FIND("-", Table1[[#This Row],[Item]]) - 1)</f>
        <v>GX14</v>
      </c>
      <c r="C465" s="1" t="str">
        <f>MID(LEFT(Table1[[#This Row],[Item]], FIND("{token}", SUBSTITUTE(Table1[[#This Row],[Item]], "-", "{token}", 2)) - 1), FIND("-", Table1[[#This Row],[Item]]) + 1, LEN(Table1[[#This Row],[Item]]))</f>
        <v>DXL</v>
      </c>
      <c r="D46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6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65" s="1" cm="1">
        <f t="array" ref="F465">VALUE(INDEX(_xlfn.TEXTSPLIT(Table1[[#This Row],[Item]], "-"), 5))</f>
        <v>2</v>
      </c>
      <c r="G465" s="1" cm="1">
        <f t="array" ref="G465">VALUE(INDEX(_xlfn.TEXTSPLIT(Table1[[#This Row],[Item]], "-"), 6))</f>
        <v>2</v>
      </c>
      <c r="H465" s="1" cm="1">
        <f t="array" ref="H465">VALUE(INDEX(_xlfn.TEXTSPLIT(Table1[[#This Row],[Item]], "-"), 7))</f>
        <v>1</v>
      </c>
      <c r="I46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65" s="1" t="str">
        <f>LEFT(RIGHT(Table1[[#This Row],[Item]],6),1)</f>
        <v>N</v>
      </c>
      <c r="K465" s="1" t="str">
        <f t="shared" si="8"/>
        <v>N</v>
      </c>
      <c r="L465" s="1" t="str">
        <f>RIGHT(Table1[[#This Row],[Item]],2)</f>
        <v>BR</v>
      </c>
      <c r="M465" s="1" t="s">
        <v>33</v>
      </c>
      <c r="N465" s="3" t="s">
        <v>484</v>
      </c>
      <c r="O465" s="1"/>
    </row>
    <row r="466" spans="1:15" ht="15" customHeight="1">
      <c r="A466" t="s">
        <v>485</v>
      </c>
      <c r="B466" s="1" t="str">
        <f>LEFT(Table1[[#This Row],[Item]], FIND("-", Table1[[#This Row],[Item]]) - 1)</f>
        <v>GX14</v>
      </c>
      <c r="C466" s="1" t="str">
        <f>MID(LEFT(Table1[[#This Row],[Item]], FIND("{token}", SUBSTITUTE(Table1[[#This Row],[Item]], "-", "{token}", 2)) - 1), FIND("-", Table1[[#This Row],[Item]]) + 1, LEN(Table1[[#This Row],[Item]]))</f>
        <v>L</v>
      </c>
      <c r="D46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6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66" s="1" cm="1">
        <f t="array" ref="F466">VALUE(INDEX(_xlfn.TEXTSPLIT(Table1[[#This Row],[Item]], "-"), 5))</f>
        <v>1</v>
      </c>
      <c r="G466" s="1" cm="1">
        <f t="array" ref="G466">VALUE(INDEX(_xlfn.TEXTSPLIT(Table1[[#This Row],[Item]], "-"), 6))</f>
        <v>3</v>
      </c>
      <c r="H466" s="1" cm="1">
        <f t="array" ref="H466">VALUE(INDEX(_xlfn.TEXTSPLIT(Table1[[#This Row],[Item]], "-"), 7))</f>
        <v>0</v>
      </c>
      <c r="I46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66" s="1" t="str">
        <f>LEFT(RIGHT(Table1[[#This Row],[Item]],6),1)</f>
        <v>N</v>
      </c>
      <c r="K466" s="1" t="str">
        <f t="shared" si="8"/>
        <v>N</v>
      </c>
      <c r="L466" s="1" t="str">
        <f>RIGHT(Table1[[#This Row],[Item]],2)</f>
        <v>BR</v>
      </c>
      <c r="M466" s="1" t="s">
        <v>33</v>
      </c>
      <c r="N466" s="3" t="s">
        <v>485</v>
      </c>
      <c r="O466" s="1"/>
    </row>
    <row r="467" spans="1:15" ht="15" customHeight="1">
      <c r="A467" t="s">
        <v>486</v>
      </c>
      <c r="B467" s="1" t="str">
        <f>LEFT(Table1[[#This Row],[Item]], FIND("-", Table1[[#This Row],[Item]]) - 1)</f>
        <v>GX14</v>
      </c>
      <c r="C467" s="1" t="str">
        <f>MID(LEFT(Table1[[#This Row],[Item]], FIND("{token}", SUBSTITUTE(Table1[[#This Row],[Item]], "-", "{token}", 2)) - 1), FIND("-", Table1[[#This Row],[Item]]) + 1, LEN(Table1[[#This Row],[Item]]))</f>
        <v>RXL</v>
      </c>
      <c r="D46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6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67" s="1" cm="1">
        <f t="array" ref="F467">VALUE(INDEX(_xlfn.TEXTSPLIT(Table1[[#This Row],[Item]], "-"), 5))</f>
        <v>2</v>
      </c>
      <c r="G467" s="1" cm="1">
        <f t="array" ref="G467">VALUE(INDEX(_xlfn.TEXTSPLIT(Table1[[#This Row],[Item]], "-"), 6))</f>
        <v>1</v>
      </c>
      <c r="H467" s="1" cm="1">
        <f t="array" ref="H467">VALUE(INDEX(_xlfn.TEXTSPLIT(Table1[[#This Row],[Item]], "-"), 7))</f>
        <v>1</v>
      </c>
      <c r="I46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67" s="1" t="str">
        <f>LEFT(RIGHT(Table1[[#This Row],[Item]],6),1)</f>
        <v>N</v>
      </c>
      <c r="K467" s="1" t="str">
        <f t="shared" si="8"/>
        <v>N</v>
      </c>
      <c r="L467" s="1" t="str">
        <f>RIGHT(Table1[[#This Row],[Item]],2)</f>
        <v>BR</v>
      </c>
      <c r="M467" s="1" t="s">
        <v>33</v>
      </c>
      <c r="N467" s="3" t="s">
        <v>486</v>
      </c>
      <c r="O467" s="1"/>
    </row>
    <row r="468" spans="1:15" ht="15" customHeight="1">
      <c r="A468" t="s">
        <v>487</v>
      </c>
      <c r="B468" s="1" t="str">
        <f>LEFT(Table1[[#This Row],[Item]], FIND("-", Table1[[#This Row],[Item]]) - 1)</f>
        <v>MA08</v>
      </c>
      <c r="C468" s="1" t="str">
        <f>MID(LEFT(Table1[[#This Row],[Item]], FIND("{token}", SUBSTITUTE(Table1[[#This Row],[Item]], "-", "{token}", 2)) - 1), FIND("-", Table1[[#This Row],[Item]]) + 1, LEN(Table1[[#This Row],[Item]]))</f>
        <v>C</v>
      </c>
      <c r="D46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6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68" s="1" cm="1">
        <f t="array" ref="F468">VALUE(INDEX(_xlfn.TEXTSPLIT(Table1[[#This Row],[Item]], "-"), 5))</f>
        <v>0</v>
      </c>
      <c r="G468" s="1" cm="1">
        <f t="array" ref="G468">VALUE(INDEX(_xlfn.TEXTSPLIT(Table1[[#This Row],[Item]], "-"), 6))</f>
        <v>0</v>
      </c>
      <c r="H468" s="1" cm="1">
        <f t="array" ref="H468">VALUE(INDEX(_xlfn.TEXTSPLIT(Table1[[#This Row],[Item]], "-"), 7))</f>
        <v>0</v>
      </c>
      <c r="I468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468" s="1" t="str">
        <f>LEFT(RIGHT(Table1[[#This Row],[Item]],6),1)</f>
        <v>Y</v>
      </c>
      <c r="K468" s="1" t="str">
        <f t="shared" si="8"/>
        <v>Y</v>
      </c>
      <c r="L468" s="1" t="str">
        <f>RIGHT(Table1[[#This Row],[Item]],2)</f>
        <v>BR</v>
      </c>
      <c r="M468" s="1" t="s">
        <v>33</v>
      </c>
      <c r="N468" s="3" t="s">
        <v>487</v>
      </c>
      <c r="O468" s="1"/>
    </row>
    <row r="469" spans="1:15" ht="15" customHeight="1">
      <c r="A469" t="s">
        <v>488</v>
      </c>
      <c r="B469" s="1" t="str">
        <f>LEFT(Table1[[#This Row],[Item]], FIND("-", Table1[[#This Row],[Item]]) - 1)</f>
        <v>MA08</v>
      </c>
      <c r="C469" s="1" t="str">
        <f>MID(LEFT(Table1[[#This Row],[Item]], FIND("{token}", SUBSTITUTE(Table1[[#This Row],[Item]], "-", "{token}", 2)) - 1), FIND("-", Table1[[#This Row],[Item]]) + 1, LEN(Table1[[#This Row],[Item]]))</f>
        <v>N</v>
      </c>
      <c r="D46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6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469" s="1" cm="1">
        <f t="array" ref="F469">VALUE(INDEX(_xlfn.TEXTSPLIT(Table1[[#This Row],[Item]], "-"), 5))</f>
        <v>1</v>
      </c>
      <c r="G469" s="1" cm="1">
        <f t="array" ref="G469">VALUE(INDEX(_xlfn.TEXTSPLIT(Table1[[#This Row],[Item]], "-"), 6))</f>
        <v>0</v>
      </c>
      <c r="H469" s="1" cm="1">
        <f t="array" ref="H469">VALUE(INDEX(_xlfn.TEXTSPLIT(Table1[[#This Row],[Item]], "-"), 7))</f>
        <v>0</v>
      </c>
      <c r="I469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469" s="1" t="str">
        <f>LEFT(RIGHT(Table1[[#This Row],[Item]],6),1)</f>
        <v>Y</v>
      </c>
      <c r="K469" s="1" t="str">
        <f t="shared" si="8"/>
        <v>Y</v>
      </c>
      <c r="L469" s="1" t="str">
        <f>RIGHT(Table1[[#This Row],[Item]],2)</f>
        <v>BR</v>
      </c>
      <c r="M469" s="1" t="s">
        <v>33</v>
      </c>
      <c r="N469" s="3" t="s">
        <v>488</v>
      </c>
      <c r="O469" s="1"/>
    </row>
    <row r="470" spans="1:15" ht="15" customHeight="1">
      <c r="A470" t="s">
        <v>489</v>
      </c>
      <c r="B470" s="1" t="str">
        <f>LEFT(Table1[[#This Row],[Item]], FIND("-", Table1[[#This Row],[Item]]) - 1)</f>
        <v>MA10</v>
      </c>
      <c r="C470" s="1" t="str">
        <f>MID(LEFT(Table1[[#This Row],[Item]], FIND("{token}", SUBSTITUTE(Table1[[#This Row],[Item]], "-", "{token}", 2)) - 1), FIND("-", Table1[[#This Row],[Item]]) + 1, LEN(Table1[[#This Row],[Item]]))</f>
        <v>N</v>
      </c>
      <c r="D47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7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470" s="1" cm="1">
        <f t="array" ref="F470">VALUE(INDEX(_xlfn.TEXTSPLIT(Table1[[#This Row],[Item]], "-"), 5))</f>
        <v>2</v>
      </c>
      <c r="G470" s="1" cm="1">
        <f t="array" ref="G470">VALUE(INDEX(_xlfn.TEXTSPLIT(Table1[[#This Row],[Item]], "-"), 6))</f>
        <v>0</v>
      </c>
      <c r="H470" s="1" cm="1">
        <f t="array" ref="H470">VALUE(INDEX(_xlfn.TEXTSPLIT(Table1[[#This Row],[Item]], "-"), 7))</f>
        <v>0</v>
      </c>
      <c r="I470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470" s="1" t="str">
        <f>LEFT(RIGHT(Table1[[#This Row],[Item]],6),1)</f>
        <v>N</v>
      </c>
      <c r="K470" s="1" t="str">
        <f t="shared" si="8"/>
        <v>Y</v>
      </c>
      <c r="L470" s="1" t="str">
        <f>RIGHT(Table1[[#This Row],[Item]],2)</f>
        <v>BR</v>
      </c>
      <c r="M470" s="1" t="s">
        <v>33</v>
      </c>
      <c r="N470" s="3" t="s">
        <v>489</v>
      </c>
      <c r="O470" s="1"/>
    </row>
    <row r="471" spans="1:15" ht="15" customHeight="1">
      <c r="A471" t="s">
        <v>490</v>
      </c>
      <c r="B471" s="1" t="str">
        <f>LEFT(Table1[[#This Row],[Item]], FIND("-", Table1[[#This Row],[Item]]) - 1)</f>
        <v>MA10</v>
      </c>
      <c r="C471" s="1" t="str">
        <f>MID(LEFT(Table1[[#This Row],[Item]], FIND("{token}", SUBSTITUTE(Table1[[#This Row],[Item]], "-", "{token}", 2)) - 1), FIND("-", Table1[[#This Row],[Item]]) + 1, LEN(Table1[[#This Row],[Item]]))</f>
        <v>N</v>
      </c>
      <c r="D47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7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471" s="1" cm="1">
        <f t="array" ref="F471">VALUE(INDEX(_xlfn.TEXTSPLIT(Table1[[#This Row],[Item]], "-"), 5))</f>
        <v>2</v>
      </c>
      <c r="G471" s="1" cm="1">
        <f t="array" ref="G471">VALUE(INDEX(_xlfn.TEXTSPLIT(Table1[[#This Row],[Item]], "-"), 6))</f>
        <v>0</v>
      </c>
      <c r="H471" s="1" cm="1">
        <f t="array" ref="H471">VALUE(INDEX(_xlfn.TEXTSPLIT(Table1[[#This Row],[Item]], "-"), 7))</f>
        <v>0</v>
      </c>
      <c r="I471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471" s="1" t="str">
        <f>LEFT(RIGHT(Table1[[#This Row],[Item]],6),1)</f>
        <v>Y</v>
      </c>
      <c r="K471" s="1" t="str">
        <f t="shared" si="8"/>
        <v>Y</v>
      </c>
      <c r="L471" s="1" t="str">
        <f>RIGHT(Table1[[#This Row],[Item]],2)</f>
        <v>BR</v>
      </c>
      <c r="M471" s="1" t="s">
        <v>33</v>
      </c>
      <c r="N471" s="3" t="s">
        <v>490</v>
      </c>
      <c r="O471" s="1"/>
    </row>
    <row r="472" spans="1:15" ht="15" customHeight="1">
      <c r="A472" t="s">
        <v>491</v>
      </c>
      <c r="B472" s="1" t="str">
        <f>LEFT(Table1[[#This Row],[Item]], FIND("-", Table1[[#This Row],[Item]]) - 1)</f>
        <v>MA12</v>
      </c>
      <c r="C472" s="1" t="str">
        <f>MID(LEFT(Table1[[#This Row],[Item]], FIND("{token}", SUBSTITUTE(Table1[[#This Row],[Item]], "-", "{token}", 2)) - 1), FIND("-", Table1[[#This Row],[Item]]) + 1, LEN(Table1[[#This Row],[Item]]))</f>
        <v>C</v>
      </c>
      <c r="D47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7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72" s="1" cm="1">
        <f t="array" ref="F472">VALUE(INDEX(_xlfn.TEXTSPLIT(Table1[[#This Row],[Item]], "-"), 5))</f>
        <v>2</v>
      </c>
      <c r="G472" s="1" cm="1">
        <f t="array" ref="G472">VALUE(INDEX(_xlfn.TEXTSPLIT(Table1[[#This Row],[Item]], "-"), 6))</f>
        <v>0</v>
      </c>
      <c r="H472" s="1" cm="1">
        <f t="array" ref="H472">VALUE(INDEX(_xlfn.TEXTSPLIT(Table1[[#This Row],[Item]], "-"), 7))</f>
        <v>0</v>
      </c>
      <c r="I472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472" s="1" t="str">
        <f>LEFT(RIGHT(Table1[[#This Row],[Item]],6),1)</f>
        <v>Y</v>
      </c>
      <c r="K472" s="1" t="str">
        <f t="shared" si="8"/>
        <v>Y</v>
      </c>
      <c r="L472" s="1" t="str">
        <f>RIGHT(Table1[[#This Row],[Item]],2)</f>
        <v>BR</v>
      </c>
      <c r="M472" s="1" t="s">
        <v>33</v>
      </c>
      <c r="N472" s="3" t="s">
        <v>491</v>
      </c>
      <c r="O472" s="1"/>
    </row>
    <row r="473" spans="1:15" ht="15" customHeight="1">
      <c r="A473" t="s">
        <v>492</v>
      </c>
      <c r="B473" s="1" t="str">
        <f>LEFT(Table1[[#This Row],[Item]], FIND("-", Table1[[#This Row],[Item]]) - 1)</f>
        <v>MA12</v>
      </c>
      <c r="C473" s="1" t="str">
        <f>MID(LEFT(Table1[[#This Row],[Item]], FIND("{token}", SUBSTITUTE(Table1[[#This Row],[Item]], "-", "{token}", 2)) - 1), FIND("-", Table1[[#This Row],[Item]]) + 1, LEN(Table1[[#This Row],[Item]]))</f>
        <v>D</v>
      </c>
      <c r="D47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7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73" s="1" cm="1">
        <f t="array" ref="F473">VALUE(INDEX(_xlfn.TEXTSPLIT(Table1[[#This Row],[Item]], "-"), 5))</f>
        <v>0</v>
      </c>
      <c r="G473" s="1" cm="1">
        <f t="array" ref="G473">VALUE(INDEX(_xlfn.TEXTSPLIT(Table1[[#This Row],[Item]], "-"), 6))</f>
        <v>1</v>
      </c>
      <c r="H473" s="1" cm="1">
        <f t="array" ref="H473">VALUE(INDEX(_xlfn.TEXTSPLIT(Table1[[#This Row],[Item]], "-"), 7))</f>
        <v>0</v>
      </c>
      <c r="I473" s="1" t="str">
        <f>MID(LEFT(Table1[[#This Row],[Item]], FIND("{token}", SUBSTITUTE(Table1[[#This Row],[Item]], "-", "{token}", 8)) - 1), FIND("{token}", SUBSTITUTE(Table1[[#This Row],[Item]], "-", "{token}", 7)) + 1, LEN(Table1[[#This Row],[Item]]))</f>
        <v>SPO</v>
      </c>
      <c r="J473" s="1" t="str">
        <f>LEFT(RIGHT(Table1[[#This Row],[Item]],6),1)</f>
        <v>Y</v>
      </c>
      <c r="K473" s="1" t="str">
        <f t="shared" si="8"/>
        <v>Y</v>
      </c>
      <c r="L473" s="1" t="str">
        <f>RIGHT(Table1[[#This Row],[Item]],2)</f>
        <v>BR</v>
      </c>
      <c r="M473" s="1" t="s">
        <v>33</v>
      </c>
      <c r="N473" s="3" t="s">
        <v>492</v>
      </c>
      <c r="O473" s="1"/>
    </row>
    <row r="474" spans="1:15" ht="15" customHeight="1">
      <c r="A474" t="s">
        <v>493</v>
      </c>
      <c r="B474" s="1" t="str">
        <f>LEFT(Table1[[#This Row],[Item]], FIND("-", Table1[[#This Row],[Item]]) - 1)</f>
        <v>MA12</v>
      </c>
      <c r="C474" s="1" t="str">
        <f>MID(LEFT(Table1[[#This Row],[Item]], FIND("{token}", SUBSTITUTE(Table1[[#This Row],[Item]], "-", "{token}", 2)) - 1), FIND("-", Table1[[#This Row],[Item]]) + 1, LEN(Table1[[#This Row],[Item]]))</f>
        <v>D</v>
      </c>
      <c r="D474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7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74" s="1" cm="1">
        <f t="array" ref="F474">VALUE(INDEX(_xlfn.TEXTSPLIT(Table1[[#This Row],[Item]], "-"), 5))</f>
        <v>0</v>
      </c>
      <c r="G474" s="1" cm="1">
        <f t="array" ref="G474">VALUE(INDEX(_xlfn.TEXTSPLIT(Table1[[#This Row],[Item]], "-"), 6))</f>
        <v>2</v>
      </c>
      <c r="H474" s="1" cm="1">
        <f t="array" ref="H474">VALUE(INDEX(_xlfn.TEXTSPLIT(Table1[[#This Row],[Item]], "-"), 7))</f>
        <v>0</v>
      </c>
      <c r="I474" s="1" t="str">
        <f>MID(LEFT(Table1[[#This Row],[Item]], FIND("{token}", SUBSTITUTE(Table1[[#This Row],[Item]], "-", "{token}", 8)) - 1), FIND("{token}", SUBSTITUTE(Table1[[#This Row],[Item]], "-", "{token}", 7)) + 1, LEN(Table1[[#This Row],[Item]]))</f>
        <v>SPO</v>
      </c>
      <c r="J474" s="1" t="str">
        <f>LEFT(RIGHT(Table1[[#This Row],[Item]],6),1)</f>
        <v>Y</v>
      </c>
      <c r="K474" s="1" t="str">
        <f t="shared" si="8"/>
        <v>Y</v>
      </c>
      <c r="L474" s="1" t="str">
        <f>RIGHT(Table1[[#This Row],[Item]],2)</f>
        <v>BR</v>
      </c>
      <c r="M474" s="1" t="s">
        <v>33</v>
      </c>
      <c r="N474" s="3" t="s">
        <v>492</v>
      </c>
      <c r="O474" s="1"/>
    </row>
    <row r="475" spans="1:15" ht="15" customHeight="1">
      <c r="A475" t="s">
        <v>494</v>
      </c>
      <c r="B475" s="1" t="str">
        <f>LEFT(Table1[[#This Row],[Item]], FIND("-", Table1[[#This Row],[Item]]) - 1)</f>
        <v>MA12</v>
      </c>
      <c r="C475" s="1" t="str">
        <f>MID(LEFT(Table1[[#This Row],[Item]], FIND("{token}", SUBSTITUTE(Table1[[#This Row],[Item]], "-", "{token}", 2)) - 1), FIND("-", Table1[[#This Row],[Item]]) + 1, LEN(Table1[[#This Row],[Item]]))</f>
        <v>D</v>
      </c>
      <c r="D47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7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75" s="1" cm="1">
        <f t="array" ref="F475">VALUE(INDEX(_xlfn.TEXTSPLIT(Table1[[#This Row],[Item]], "-"), 5))</f>
        <v>0</v>
      </c>
      <c r="G475" s="1" cm="1">
        <f t="array" ref="G475">VALUE(INDEX(_xlfn.TEXTSPLIT(Table1[[#This Row],[Item]], "-"), 6))</f>
        <v>1</v>
      </c>
      <c r="H475" s="1" cm="1">
        <f t="array" ref="H475">VALUE(INDEX(_xlfn.TEXTSPLIT(Table1[[#This Row],[Item]], "-"), 7))</f>
        <v>0</v>
      </c>
      <c r="I475" s="1" t="str">
        <f>MID(LEFT(Table1[[#This Row],[Item]], FIND("{token}", SUBSTITUTE(Table1[[#This Row],[Item]], "-", "{token}", 8)) - 1), FIND("{token}", SUBSTITUTE(Table1[[#This Row],[Item]], "-", "{token}", 7)) + 1, LEN(Table1[[#This Row],[Item]]))</f>
        <v>SPO</v>
      </c>
      <c r="J475" s="1" t="str">
        <f>LEFT(RIGHT(Table1[[#This Row],[Item]],6),1)</f>
        <v>Y</v>
      </c>
      <c r="K475" s="1" t="str">
        <f t="shared" si="8"/>
        <v>Y</v>
      </c>
      <c r="L475" s="1" t="str">
        <f>RIGHT(Table1[[#This Row],[Item]],2)</f>
        <v>BR</v>
      </c>
      <c r="M475" s="1" t="s">
        <v>33</v>
      </c>
      <c r="N475" s="3" t="s">
        <v>494</v>
      </c>
      <c r="O475" s="1"/>
    </row>
    <row r="476" spans="1:15" ht="15" customHeight="1">
      <c r="A476" t="s">
        <v>495</v>
      </c>
      <c r="B476" s="1" t="str">
        <f>LEFT(Table1[[#This Row],[Item]], FIND("-", Table1[[#This Row],[Item]]) - 1)</f>
        <v>MA12</v>
      </c>
      <c r="C476" s="1" t="str">
        <f>MID(LEFT(Table1[[#This Row],[Item]], FIND("{token}", SUBSTITUTE(Table1[[#This Row],[Item]], "-", "{token}", 2)) - 1), FIND("-", Table1[[#This Row],[Item]]) + 1, LEN(Table1[[#This Row],[Item]]))</f>
        <v>DXL</v>
      </c>
      <c r="D47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7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76" s="1" cm="1">
        <f t="array" ref="F476">VALUE(INDEX(_xlfn.TEXTSPLIT(Table1[[#This Row],[Item]], "-"), 5))</f>
        <v>0</v>
      </c>
      <c r="G476" s="1" cm="1">
        <f t="array" ref="G476">VALUE(INDEX(_xlfn.TEXTSPLIT(Table1[[#This Row],[Item]], "-"), 6))</f>
        <v>1</v>
      </c>
      <c r="H476" s="1" cm="1">
        <f t="array" ref="H476">VALUE(INDEX(_xlfn.TEXTSPLIT(Table1[[#This Row],[Item]], "-"), 7))</f>
        <v>0</v>
      </c>
      <c r="I476" s="1" t="str">
        <f>MID(LEFT(Table1[[#This Row],[Item]], FIND("{token}", SUBSTITUTE(Table1[[#This Row],[Item]], "-", "{token}", 8)) - 1), FIND("{token}", SUBSTITUTE(Table1[[#This Row],[Item]], "-", "{token}", 7)) + 1, LEN(Table1[[#This Row],[Item]]))</f>
        <v>SPO</v>
      </c>
      <c r="J476" s="1" t="str">
        <f>LEFT(RIGHT(Table1[[#This Row],[Item]],6),1)</f>
        <v>Y</v>
      </c>
      <c r="K476" s="1" t="str">
        <f t="shared" si="8"/>
        <v>Y</v>
      </c>
      <c r="L476" s="1" t="str">
        <f>RIGHT(Table1[[#This Row],[Item]],2)</f>
        <v>BR</v>
      </c>
      <c r="M476" s="1" t="s">
        <v>33</v>
      </c>
      <c r="N476" s="3" t="s">
        <v>495</v>
      </c>
      <c r="O476" s="1"/>
    </row>
    <row r="477" spans="1:15" ht="15" customHeight="1">
      <c r="A477" t="s">
        <v>496</v>
      </c>
      <c r="B477" s="1" t="str">
        <f>LEFT(Table1[[#This Row],[Item]], FIND("-", Table1[[#This Row],[Item]]) - 1)</f>
        <v>MA14</v>
      </c>
      <c r="C477" s="1" t="str">
        <f>MID(LEFT(Table1[[#This Row],[Item]], FIND("{token}", SUBSTITUTE(Table1[[#This Row],[Item]], "-", "{token}", 2)) - 1), FIND("-", Table1[[#This Row],[Item]]) + 1, LEN(Table1[[#This Row],[Item]]))</f>
        <v>C</v>
      </c>
      <c r="D47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7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77" s="1" cm="1">
        <f t="array" ref="F477">VALUE(INDEX(_xlfn.TEXTSPLIT(Table1[[#This Row],[Item]], "-"), 5))</f>
        <v>2</v>
      </c>
      <c r="G477" s="1" cm="1">
        <f t="array" ref="G477">VALUE(INDEX(_xlfn.TEXTSPLIT(Table1[[#This Row],[Item]], "-"), 6))</f>
        <v>0</v>
      </c>
      <c r="H477" s="1" cm="1">
        <f t="array" ref="H477">VALUE(INDEX(_xlfn.TEXTSPLIT(Table1[[#This Row],[Item]], "-"), 7))</f>
        <v>0</v>
      </c>
      <c r="I477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477" s="1" t="str">
        <f>LEFT(RIGHT(Table1[[#This Row],[Item]],6),1)</f>
        <v>Y</v>
      </c>
      <c r="K477" s="1" t="str">
        <f t="shared" si="8"/>
        <v>Y</v>
      </c>
      <c r="L477" s="1" t="str">
        <f>RIGHT(Table1[[#This Row],[Item]],2)</f>
        <v>BR</v>
      </c>
      <c r="M477" s="1" t="s">
        <v>33</v>
      </c>
      <c r="N477" s="3" t="s">
        <v>496</v>
      </c>
      <c r="O477" s="1"/>
    </row>
    <row r="478" spans="1:15" ht="15" customHeight="1">
      <c r="A478" t="s">
        <v>497</v>
      </c>
      <c r="B478" s="1" t="str">
        <f>LEFT(Table1[[#This Row],[Item]], FIND("-", Table1[[#This Row],[Item]]) - 1)</f>
        <v>MA14</v>
      </c>
      <c r="C478" s="1" t="str">
        <f>MID(LEFT(Table1[[#This Row],[Item]], FIND("{token}", SUBSTITUTE(Table1[[#This Row],[Item]], "-", "{token}", 2)) - 1), FIND("-", Table1[[#This Row],[Item]]) + 1, LEN(Table1[[#This Row],[Item]]))</f>
        <v>D</v>
      </c>
      <c r="D47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7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78" s="1" cm="1">
        <f t="array" ref="F478">VALUE(INDEX(_xlfn.TEXTSPLIT(Table1[[#This Row],[Item]], "-"), 5))</f>
        <v>0</v>
      </c>
      <c r="G478" s="1" cm="1">
        <f t="array" ref="G478">VALUE(INDEX(_xlfn.TEXTSPLIT(Table1[[#This Row],[Item]], "-"), 6))</f>
        <v>2</v>
      </c>
      <c r="H478" s="1" cm="1">
        <f t="array" ref="H478">VALUE(INDEX(_xlfn.TEXTSPLIT(Table1[[#This Row],[Item]], "-"), 7))</f>
        <v>0</v>
      </c>
      <c r="I478" s="1" t="str">
        <f>MID(LEFT(Table1[[#This Row],[Item]], FIND("{token}", SUBSTITUTE(Table1[[#This Row],[Item]], "-", "{token}", 8)) - 1), FIND("{token}", SUBSTITUTE(Table1[[#This Row],[Item]], "-", "{token}", 7)) + 1, LEN(Table1[[#This Row],[Item]]))</f>
        <v>SPO</v>
      </c>
      <c r="J478" s="1" t="str">
        <f>LEFT(RIGHT(Table1[[#This Row],[Item]],6),1)</f>
        <v>Y</v>
      </c>
      <c r="K478" s="1" t="str">
        <f t="shared" si="8"/>
        <v>Y</v>
      </c>
      <c r="L478" s="1" t="str">
        <f>RIGHT(Table1[[#This Row],[Item]],2)</f>
        <v>BR</v>
      </c>
      <c r="M478" s="1" t="s">
        <v>33</v>
      </c>
      <c r="N478" s="3" t="s">
        <v>497</v>
      </c>
      <c r="O478" s="1"/>
    </row>
    <row r="479" spans="1:15" ht="15" customHeight="1">
      <c r="A479" t="s">
        <v>498</v>
      </c>
      <c r="B479" s="1" t="str">
        <f>LEFT(Table1[[#This Row],[Item]], FIND("-", Table1[[#This Row],[Item]]) - 1)</f>
        <v>MA14</v>
      </c>
      <c r="C479" s="1" t="str">
        <f>MID(LEFT(Table1[[#This Row],[Item]], FIND("{token}", SUBSTITUTE(Table1[[#This Row],[Item]], "-", "{token}", 2)) - 1), FIND("-", Table1[[#This Row],[Item]]) + 1, LEN(Table1[[#This Row],[Item]]))</f>
        <v>D</v>
      </c>
      <c r="D47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7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79" s="1" cm="1">
        <f t="array" ref="F479">VALUE(INDEX(_xlfn.TEXTSPLIT(Table1[[#This Row],[Item]], "-"), 5))</f>
        <v>0</v>
      </c>
      <c r="G479" s="1" cm="1">
        <f t="array" ref="G479">VALUE(INDEX(_xlfn.TEXTSPLIT(Table1[[#This Row],[Item]], "-"), 6))</f>
        <v>2</v>
      </c>
      <c r="H479" s="1" cm="1">
        <f t="array" ref="H479">VALUE(INDEX(_xlfn.TEXTSPLIT(Table1[[#This Row],[Item]], "-"), 7))</f>
        <v>0</v>
      </c>
      <c r="I479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479" s="1" t="str">
        <f>LEFT(RIGHT(Table1[[#This Row],[Item]],6),1)</f>
        <v>Y</v>
      </c>
      <c r="K479" s="1" t="str">
        <f t="shared" si="8"/>
        <v>Y</v>
      </c>
      <c r="L479" s="1" t="str">
        <f>RIGHT(Table1[[#This Row],[Item]],2)</f>
        <v>BR</v>
      </c>
      <c r="M479" s="1" t="s">
        <v>33</v>
      </c>
      <c r="N479" s="3" t="s">
        <v>498</v>
      </c>
      <c r="O479" s="1"/>
    </row>
    <row r="480" spans="1:15" ht="15" customHeight="1">
      <c r="A480" t="s">
        <v>499</v>
      </c>
      <c r="B480" s="1" t="str">
        <f>LEFT(Table1[[#This Row],[Item]], FIND("-", Table1[[#This Row],[Item]]) - 1)</f>
        <v>MA14</v>
      </c>
      <c r="C480" s="1" t="str">
        <f>MID(LEFT(Table1[[#This Row],[Item]], FIND("{token}", SUBSTITUTE(Table1[[#This Row],[Item]], "-", "{token}", 2)) - 1), FIND("-", Table1[[#This Row],[Item]]) + 1, LEN(Table1[[#This Row],[Item]]))</f>
        <v>DXL</v>
      </c>
      <c r="D48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8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80" s="1" cm="1">
        <f t="array" ref="F480">VALUE(INDEX(_xlfn.TEXTSPLIT(Table1[[#This Row],[Item]], "-"), 5))</f>
        <v>0</v>
      </c>
      <c r="G480" s="1" cm="1">
        <f t="array" ref="G480">VALUE(INDEX(_xlfn.TEXTSPLIT(Table1[[#This Row],[Item]], "-"), 6))</f>
        <v>2</v>
      </c>
      <c r="H480" s="1" cm="1">
        <f t="array" ref="H480">VALUE(INDEX(_xlfn.TEXTSPLIT(Table1[[#This Row],[Item]], "-"), 7))</f>
        <v>0</v>
      </c>
      <c r="I480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480" s="1" t="str">
        <f>LEFT(RIGHT(Table1[[#This Row],[Item]],6),1)</f>
        <v>Y</v>
      </c>
      <c r="K480" s="1" t="str">
        <f t="shared" si="8"/>
        <v>Y</v>
      </c>
      <c r="L480" s="1" t="str">
        <f>RIGHT(Table1[[#This Row],[Item]],2)</f>
        <v>BR</v>
      </c>
      <c r="M480" s="1" t="s">
        <v>33</v>
      </c>
      <c r="N480" s="3" t="s">
        <v>499</v>
      </c>
      <c r="O480" s="1"/>
    </row>
    <row r="481" spans="1:15" ht="15" customHeight="1">
      <c r="A481" t="s">
        <v>500</v>
      </c>
      <c r="B481" s="1" t="str">
        <f>LEFT(Table1[[#This Row],[Item]], FIND("-", Table1[[#This Row],[Item]]) - 1)</f>
        <v>STC8</v>
      </c>
      <c r="C481" s="1" t="str">
        <f>MID(LEFT(Table1[[#This Row],[Item]], FIND("{token}", SUBSTITUTE(Table1[[#This Row],[Item]], "-", "{token}", 2)) - 1), FIND("-", Table1[[#This Row],[Item]]) + 1, LEN(Table1[[#This Row],[Item]]))</f>
        <v>N</v>
      </c>
      <c r="D48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8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481" s="1" cm="1">
        <f t="array" ref="F481">VALUE(INDEX(_xlfn.TEXTSPLIT(Table1[[#This Row],[Item]], "-"), 5))</f>
        <v>1</v>
      </c>
      <c r="G481" s="1" cm="1">
        <f t="array" ref="G481">VALUE(INDEX(_xlfn.TEXTSPLIT(Table1[[#This Row],[Item]], "-"), 6))</f>
        <v>0</v>
      </c>
      <c r="H481" s="1" cm="1">
        <f t="array" ref="H481">VALUE(INDEX(_xlfn.TEXTSPLIT(Table1[[#This Row],[Item]], "-"), 7))</f>
        <v>0</v>
      </c>
      <c r="I481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481" s="1" t="str">
        <f>LEFT(RIGHT(Table1[[#This Row],[Item]],6),1)</f>
        <v>N</v>
      </c>
      <c r="K481" s="1" t="str">
        <f t="shared" si="8"/>
        <v>Y</v>
      </c>
      <c r="L481" s="1" t="str">
        <f>RIGHT(Table1[[#This Row],[Item]],2)</f>
        <v>BR</v>
      </c>
      <c r="M481" s="1" t="s">
        <v>33</v>
      </c>
      <c r="N481" s="3" t="s">
        <v>500</v>
      </c>
      <c r="O481" s="1"/>
    </row>
    <row r="482" spans="1:15" ht="15" customHeight="1">
      <c r="A482" t="s">
        <v>501</v>
      </c>
      <c r="B482" s="1" t="str">
        <f>LEFT(Table1[[#This Row],[Item]], FIND("-", Table1[[#This Row],[Item]]) - 1)</f>
        <v>STC8</v>
      </c>
      <c r="C482" s="1" t="str">
        <f>MID(LEFT(Table1[[#This Row],[Item]], FIND("{token}", SUBSTITUTE(Table1[[#This Row],[Item]], "-", "{token}", 2)) - 1), FIND("-", Table1[[#This Row],[Item]]) + 1, LEN(Table1[[#This Row],[Item]]))</f>
        <v>N</v>
      </c>
      <c r="D48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8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482" s="1" cm="1">
        <f t="array" ref="F482">VALUE(INDEX(_xlfn.TEXTSPLIT(Table1[[#This Row],[Item]], "-"), 5))</f>
        <v>1</v>
      </c>
      <c r="G482" s="1" cm="1">
        <f t="array" ref="G482">VALUE(INDEX(_xlfn.TEXTSPLIT(Table1[[#This Row],[Item]], "-"), 6))</f>
        <v>0</v>
      </c>
      <c r="H482" s="1" cm="1">
        <f t="array" ref="H482">VALUE(INDEX(_xlfn.TEXTSPLIT(Table1[[#This Row],[Item]], "-"), 7))</f>
        <v>0</v>
      </c>
      <c r="I482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482" s="1" t="str">
        <f>LEFT(RIGHT(Table1[[#This Row],[Item]],6),1)</f>
        <v>Y</v>
      </c>
      <c r="K482" s="1" t="str">
        <f t="shared" si="8"/>
        <v>Y</v>
      </c>
      <c r="L482" s="1" t="str">
        <f>RIGHT(Table1[[#This Row],[Item]],2)</f>
        <v>BR</v>
      </c>
      <c r="M482" s="1" t="s">
        <v>33</v>
      </c>
      <c r="N482" s="3" t="s">
        <v>501</v>
      </c>
      <c r="O482" s="1"/>
    </row>
    <row r="483" spans="1:15" ht="15" customHeight="1">
      <c r="A483" t="s">
        <v>502</v>
      </c>
      <c r="B483" s="1" t="str">
        <f>LEFT(Table1[[#This Row],[Item]], FIND("-", Table1[[#This Row],[Item]]) - 1)</f>
        <v>STC9</v>
      </c>
      <c r="C483" s="1" t="str">
        <f>MID(LEFT(Table1[[#This Row],[Item]], FIND("{token}", SUBSTITUTE(Table1[[#This Row],[Item]], "-", "{token}", 2)) - 1), FIND("-", Table1[[#This Row],[Item]]) + 1, LEN(Table1[[#This Row],[Item]]))</f>
        <v>C</v>
      </c>
      <c r="D48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8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83" s="1" cm="1">
        <f t="array" ref="F483">VALUE(INDEX(_xlfn.TEXTSPLIT(Table1[[#This Row],[Item]], "-"), 5))</f>
        <v>0</v>
      </c>
      <c r="G483" s="1" cm="1">
        <f t="array" ref="G483">VALUE(INDEX(_xlfn.TEXTSPLIT(Table1[[#This Row],[Item]], "-"), 6))</f>
        <v>0</v>
      </c>
      <c r="H483" s="1" cm="1">
        <f t="array" ref="H483">VALUE(INDEX(_xlfn.TEXTSPLIT(Table1[[#This Row],[Item]], "-"), 7))</f>
        <v>0</v>
      </c>
      <c r="I483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483" s="1" t="str">
        <f>LEFT(RIGHT(Table1[[#This Row],[Item]],6),1)</f>
        <v>Y</v>
      </c>
      <c r="K483" s="1" t="str">
        <f t="shared" si="8"/>
        <v>Y</v>
      </c>
      <c r="L483" s="1" t="str">
        <f>RIGHT(Table1[[#This Row],[Item]],2)</f>
        <v>BR</v>
      </c>
      <c r="M483" s="1" t="s">
        <v>33</v>
      </c>
      <c r="N483" s="3" t="s">
        <v>502</v>
      </c>
      <c r="O483" s="1"/>
    </row>
    <row r="484" spans="1:15" ht="15" customHeight="1">
      <c r="A484" t="s">
        <v>503</v>
      </c>
      <c r="B484" s="1" t="str">
        <f>LEFT(Table1[[#This Row],[Item]], FIND("-", Table1[[#This Row],[Item]]) - 1)</f>
        <v>STC9</v>
      </c>
      <c r="C484" s="1" t="str">
        <f>MID(LEFT(Table1[[#This Row],[Item]], FIND("{token}", SUBSTITUTE(Table1[[#This Row],[Item]], "-", "{token}", 2)) - 1), FIND("-", Table1[[#This Row],[Item]]) + 1, LEN(Table1[[#This Row],[Item]]))</f>
        <v>N</v>
      </c>
      <c r="D48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8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484" s="1" cm="1">
        <f t="array" ref="F484">VALUE(INDEX(_xlfn.TEXTSPLIT(Table1[[#This Row],[Item]], "-"), 5))</f>
        <v>2</v>
      </c>
      <c r="G484" s="1" cm="1">
        <f t="array" ref="G484">VALUE(INDEX(_xlfn.TEXTSPLIT(Table1[[#This Row],[Item]], "-"), 6))</f>
        <v>0</v>
      </c>
      <c r="H484" s="1" cm="1">
        <f t="array" ref="H484">VALUE(INDEX(_xlfn.TEXTSPLIT(Table1[[#This Row],[Item]], "-"), 7))</f>
        <v>0</v>
      </c>
      <c r="I484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484" s="1" t="str">
        <f>LEFT(RIGHT(Table1[[#This Row],[Item]],6),1)</f>
        <v>Y</v>
      </c>
      <c r="K484" s="1" t="str">
        <f t="shared" si="8"/>
        <v>Y</v>
      </c>
      <c r="L484" s="1" t="str">
        <f>RIGHT(Table1[[#This Row],[Item]],2)</f>
        <v>BR</v>
      </c>
      <c r="M484" s="1" t="s">
        <v>33</v>
      </c>
      <c r="N484" s="3" t="s">
        <v>503</v>
      </c>
      <c r="O484" s="1"/>
    </row>
    <row r="485" spans="1:15" ht="15" customHeight="1">
      <c r="A485" t="s">
        <v>504</v>
      </c>
      <c r="B485" s="1" t="str">
        <f>LEFT(Table1[[#This Row],[Item]], FIND("-", Table1[[#This Row],[Item]]) - 1)</f>
        <v>STR9</v>
      </c>
      <c r="C485" s="1" t="str">
        <f>MID(LEFT(Table1[[#This Row],[Item]], FIND("{token}", SUBSTITUTE(Table1[[#This Row],[Item]], "-", "{token}", 2)) - 1), FIND("-", Table1[[#This Row],[Item]]) + 1, LEN(Table1[[#This Row],[Item]]))</f>
        <v>N</v>
      </c>
      <c r="D48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8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85" s="1" cm="1">
        <f t="array" ref="F485">VALUE(INDEX(_xlfn.TEXTSPLIT(Table1[[#This Row],[Item]], "-"), 5))</f>
        <v>0</v>
      </c>
      <c r="G485" s="1" cm="1">
        <f t="array" ref="G485">VALUE(INDEX(_xlfn.TEXTSPLIT(Table1[[#This Row],[Item]], "-"), 6))</f>
        <v>0</v>
      </c>
      <c r="H485" s="1" cm="1">
        <f t="array" ref="H485">VALUE(INDEX(_xlfn.TEXTSPLIT(Table1[[#This Row],[Item]], "-"), 7))</f>
        <v>0</v>
      </c>
      <c r="I48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85" s="1" t="str">
        <f>LEFT(RIGHT(Table1[[#This Row],[Item]],6),1)</f>
        <v>Y</v>
      </c>
      <c r="K485" s="1" t="str">
        <f t="shared" si="8"/>
        <v>N</v>
      </c>
      <c r="L485" s="1" t="str">
        <f>RIGHT(Table1[[#This Row],[Item]],2)</f>
        <v>BR</v>
      </c>
      <c r="M485" s="1" t="s">
        <v>33</v>
      </c>
      <c r="N485" s="3" t="s">
        <v>504</v>
      </c>
      <c r="O485" s="1"/>
    </row>
    <row r="486" spans="1:15" ht="15" customHeight="1">
      <c r="A486" t="s">
        <v>505</v>
      </c>
      <c r="B486" s="1" t="str">
        <f>LEFT(Table1[[#This Row],[Item]], FIND("-", Table1[[#This Row],[Item]]) - 1)</f>
        <v>STT7</v>
      </c>
      <c r="C486" s="1" t="str">
        <f>MID(LEFT(Table1[[#This Row],[Item]], FIND("{token}", SUBSTITUTE(Table1[[#This Row],[Item]], "-", "{token}", 2)) - 1), FIND("-", Table1[[#This Row],[Item]]) + 1, LEN(Table1[[#This Row],[Item]]))</f>
        <v>N</v>
      </c>
      <c r="D48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8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86" s="1" cm="1">
        <f t="array" ref="F486">VALUE(INDEX(_xlfn.TEXTSPLIT(Table1[[#This Row],[Item]], "-"), 5))</f>
        <v>0</v>
      </c>
      <c r="G486" s="1" cm="1">
        <f t="array" ref="G486">VALUE(INDEX(_xlfn.TEXTSPLIT(Table1[[#This Row],[Item]], "-"), 6))</f>
        <v>0</v>
      </c>
      <c r="H486" s="1" cm="1">
        <f t="array" ref="H486">VALUE(INDEX(_xlfn.TEXTSPLIT(Table1[[#This Row],[Item]], "-"), 7))</f>
        <v>0</v>
      </c>
      <c r="I486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486" s="1" t="str">
        <f>LEFT(RIGHT(Table1[[#This Row],[Item]],6),1)</f>
        <v>Y</v>
      </c>
      <c r="K486" s="1" t="str">
        <f t="shared" si="8"/>
        <v>N</v>
      </c>
      <c r="L486" s="1" t="str">
        <f>RIGHT(Table1[[#This Row],[Item]],2)</f>
        <v>BR</v>
      </c>
      <c r="M486" s="1" t="s">
        <v>33</v>
      </c>
      <c r="N486" s="3" t="s">
        <v>505</v>
      </c>
      <c r="O486" s="1"/>
    </row>
    <row r="487" spans="1:15" ht="15" customHeight="1">
      <c r="A487" t="s">
        <v>506</v>
      </c>
      <c r="B487" s="1" t="str">
        <f>LEFT(Table1[[#This Row],[Item]], FIND("-", Table1[[#This Row],[Item]]) - 1)</f>
        <v>STT7</v>
      </c>
      <c r="C487" s="1" t="str">
        <f>MID(LEFT(Table1[[#This Row],[Item]], FIND("{token}", SUBSTITUTE(Table1[[#This Row],[Item]], "-", "{token}", 2)) - 1), FIND("-", Table1[[#This Row],[Item]]) + 1, LEN(Table1[[#This Row],[Item]]))</f>
        <v>N</v>
      </c>
      <c r="D48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8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87" s="1" cm="1">
        <f t="array" ref="F487">VALUE(INDEX(_xlfn.TEXTSPLIT(Table1[[#This Row],[Item]], "-"), 5))</f>
        <v>0</v>
      </c>
      <c r="G487" s="1" cm="1">
        <f t="array" ref="G487">VALUE(INDEX(_xlfn.TEXTSPLIT(Table1[[#This Row],[Item]], "-"), 6))</f>
        <v>0</v>
      </c>
      <c r="H487" s="1" cm="1">
        <f t="array" ref="H487">VALUE(INDEX(_xlfn.TEXTSPLIT(Table1[[#This Row],[Item]], "-"), 7))</f>
        <v>0</v>
      </c>
      <c r="I487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487" s="1" t="str">
        <f>LEFT(RIGHT(Table1[[#This Row],[Item]],6),1)</f>
        <v>Y</v>
      </c>
      <c r="K487" s="1" t="str">
        <f t="shared" si="8"/>
        <v>Y</v>
      </c>
      <c r="L487" s="1" t="str">
        <f>RIGHT(Table1[[#This Row],[Item]],2)</f>
        <v>BR</v>
      </c>
      <c r="M487" s="1" t="s">
        <v>33</v>
      </c>
      <c r="N487" s="3" t="s">
        <v>506</v>
      </c>
      <c r="O487" s="1"/>
    </row>
    <row r="488" spans="1:15" ht="15" customHeight="1">
      <c r="A488" t="s">
        <v>507</v>
      </c>
      <c r="B488" s="1" t="str">
        <f>LEFT(Table1[[#This Row],[Item]], FIND("-", Table1[[#This Row],[Item]]) - 1)</f>
        <v>STT9</v>
      </c>
      <c r="C488" s="1" t="str">
        <f>MID(LEFT(Table1[[#This Row],[Item]], FIND("{token}", SUBSTITUTE(Table1[[#This Row],[Item]], "-", "{token}", 2)) - 1), FIND("-", Table1[[#This Row],[Item]]) + 1, LEN(Table1[[#This Row],[Item]]))</f>
        <v>N</v>
      </c>
      <c r="D48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8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88" s="1" cm="1">
        <f t="array" ref="F488">VALUE(INDEX(_xlfn.TEXTSPLIT(Table1[[#This Row],[Item]], "-"), 5))</f>
        <v>0</v>
      </c>
      <c r="G488" s="1" cm="1">
        <f t="array" ref="G488">VALUE(INDEX(_xlfn.TEXTSPLIT(Table1[[#This Row],[Item]], "-"), 6))</f>
        <v>0</v>
      </c>
      <c r="H488" s="1" cm="1">
        <f t="array" ref="H488">VALUE(INDEX(_xlfn.TEXTSPLIT(Table1[[#This Row],[Item]], "-"), 7))</f>
        <v>0</v>
      </c>
      <c r="I488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488" s="1" t="str">
        <f>LEFT(RIGHT(Table1[[#This Row],[Item]],6),1)</f>
        <v>Y</v>
      </c>
      <c r="K488" s="1" t="str">
        <f t="shared" si="8"/>
        <v>Y</v>
      </c>
      <c r="L488" s="1" t="str">
        <f>RIGHT(Table1[[#This Row],[Item]],2)</f>
        <v>BR</v>
      </c>
      <c r="M488" s="1" t="s">
        <v>33</v>
      </c>
      <c r="N488" s="3" t="s">
        <v>507</v>
      </c>
      <c r="O488" s="1"/>
    </row>
    <row r="489" spans="1:15" ht="15" customHeight="1">
      <c r="A489" t="s">
        <v>508</v>
      </c>
      <c r="B489" s="1" t="str">
        <f>LEFT(Table1[[#This Row],[Item]], FIND("-", Table1[[#This Row],[Item]]) - 1)</f>
        <v>GX09</v>
      </c>
      <c r="C489" s="1" t="str">
        <f>MID(LEFT(Table1[[#This Row],[Item]], FIND("{token}", SUBSTITUTE(Table1[[#This Row],[Item]], "-", "{token}", 2)) - 1), FIND("-", Table1[[#This Row],[Item]]) + 1, LEN(Table1[[#This Row],[Item]]))</f>
        <v>RXL</v>
      </c>
      <c r="D48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8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89" s="1" cm="1">
        <f t="array" ref="F489">VALUE(INDEX(_xlfn.TEXTSPLIT(Table1[[#This Row],[Item]], "-"), 5))</f>
        <v>1</v>
      </c>
      <c r="G489" s="1" cm="1">
        <f t="array" ref="G489">VALUE(INDEX(_xlfn.TEXTSPLIT(Table1[[#This Row],[Item]], "-"), 6))</f>
        <v>1</v>
      </c>
      <c r="H489" s="1" cm="1">
        <f t="array" ref="H489">VALUE(INDEX(_xlfn.TEXTSPLIT(Table1[[#This Row],[Item]], "-"), 7))</f>
        <v>0</v>
      </c>
      <c r="I48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89" s="1" t="str">
        <f>LEFT(RIGHT(Table1[[#This Row],[Item]],6),1)</f>
        <v>N</v>
      </c>
      <c r="K489" s="1" t="str">
        <f t="shared" si="8"/>
        <v>N</v>
      </c>
      <c r="L489" s="1" t="str">
        <f>RIGHT(Table1[[#This Row],[Item]],2)</f>
        <v>BR</v>
      </c>
      <c r="M489" s="1" t="s">
        <v>33</v>
      </c>
      <c r="N489" s="3" t="s">
        <v>508</v>
      </c>
      <c r="O489" s="1"/>
    </row>
    <row r="490" spans="1:15" ht="15" customHeight="1">
      <c r="A490" t="s">
        <v>509</v>
      </c>
      <c r="B490" s="1" t="str">
        <f>LEFT(Table1[[#This Row],[Item]], FIND("-", Table1[[#This Row],[Item]]) - 1)</f>
        <v>GX09</v>
      </c>
      <c r="C490" s="1" t="str">
        <f>MID(LEFT(Table1[[#This Row],[Item]], FIND("{token}", SUBSTITUTE(Table1[[#This Row],[Item]], "-", "{token}", 2)) - 1), FIND("-", Table1[[#This Row],[Item]]) + 1, LEN(Table1[[#This Row],[Item]]))</f>
        <v>DXL</v>
      </c>
      <c r="D49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9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90" s="1" cm="1">
        <f t="array" ref="F490">VALUE(INDEX(_xlfn.TEXTSPLIT(Table1[[#This Row],[Item]], "-"), 5))</f>
        <v>0</v>
      </c>
      <c r="G490" s="1" cm="1">
        <f t="array" ref="G490">VALUE(INDEX(_xlfn.TEXTSPLIT(Table1[[#This Row],[Item]], "-"), 6))</f>
        <v>1</v>
      </c>
      <c r="H490" s="1" cm="1">
        <f t="array" ref="H490">VALUE(INDEX(_xlfn.TEXTSPLIT(Table1[[#This Row],[Item]], "-"), 7))</f>
        <v>1</v>
      </c>
      <c r="I49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90" s="1" t="str">
        <f>LEFT(RIGHT(Table1[[#This Row],[Item]],6),1)</f>
        <v>N</v>
      </c>
      <c r="K490" s="1" t="str">
        <f t="shared" si="8"/>
        <v>N</v>
      </c>
      <c r="L490" s="1" t="str">
        <f>RIGHT(Table1[[#This Row],[Item]],2)</f>
        <v>BR</v>
      </c>
      <c r="M490" s="1" t="s">
        <v>33</v>
      </c>
      <c r="N490" s="3" t="s">
        <v>509</v>
      </c>
      <c r="O490" s="1"/>
    </row>
    <row r="491" spans="1:15" ht="15" customHeight="1">
      <c r="A491" t="s">
        <v>510</v>
      </c>
      <c r="B491" s="1" t="str">
        <f>LEFT(Table1[[#This Row],[Item]], FIND("-", Table1[[#This Row],[Item]]) - 1)</f>
        <v>GX10</v>
      </c>
      <c r="C491" s="1" t="str">
        <f>MID(LEFT(Table1[[#This Row],[Item]], FIND("{token}", SUBSTITUTE(Table1[[#This Row],[Item]], "-", "{token}", 2)) - 1), FIND("-", Table1[[#This Row],[Item]]) + 1, LEN(Table1[[#This Row],[Item]]))</f>
        <v>CXL</v>
      </c>
      <c r="D491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49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491" s="1" cm="1">
        <f t="array" ref="F491">VALUE(INDEX(_xlfn.TEXTSPLIT(Table1[[#This Row],[Item]], "-"), 5))</f>
        <v>1</v>
      </c>
      <c r="G491" s="1" cm="1">
        <f t="array" ref="G491">VALUE(INDEX(_xlfn.TEXTSPLIT(Table1[[#This Row],[Item]], "-"), 6))</f>
        <v>2</v>
      </c>
      <c r="H491" s="1" cm="1">
        <f t="array" ref="H491">VALUE(INDEX(_xlfn.TEXTSPLIT(Table1[[#This Row],[Item]], "-"), 7))</f>
        <v>1</v>
      </c>
      <c r="I49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91" s="1" t="str">
        <f>LEFT(RIGHT(Table1[[#This Row],[Item]],6),1)</f>
        <v>N</v>
      </c>
      <c r="K491" s="1" t="str">
        <f t="shared" si="8"/>
        <v>N</v>
      </c>
      <c r="L491" s="1" t="str">
        <f>RIGHT(Table1[[#This Row],[Item]],2)</f>
        <v>BR</v>
      </c>
      <c r="M491" s="1" t="s">
        <v>33</v>
      </c>
      <c r="N491" s="3" t="s">
        <v>510</v>
      </c>
      <c r="O491" s="1"/>
    </row>
    <row r="492" spans="1:15" ht="15" customHeight="1">
      <c r="A492" t="s">
        <v>511</v>
      </c>
      <c r="B492" s="1" t="str">
        <f>LEFT(Table1[[#This Row],[Item]], FIND("-", Table1[[#This Row],[Item]]) - 1)</f>
        <v>GX12</v>
      </c>
      <c r="C492" s="1" t="str">
        <f>MID(LEFT(Table1[[#This Row],[Item]], FIND("{token}", SUBSTITUTE(Table1[[#This Row],[Item]], "-", "{token}", 2)) - 1), FIND("-", Table1[[#This Row],[Item]]) + 1, LEN(Table1[[#This Row],[Item]]))</f>
        <v>CXL</v>
      </c>
      <c r="D49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9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492" s="1" cm="1">
        <f t="array" ref="F492">VALUE(INDEX(_xlfn.TEXTSPLIT(Table1[[#This Row],[Item]], "-"), 5))</f>
        <v>2</v>
      </c>
      <c r="G492" s="1" cm="1">
        <f t="array" ref="G492">VALUE(INDEX(_xlfn.TEXTSPLIT(Table1[[#This Row],[Item]], "-"), 6))</f>
        <v>1</v>
      </c>
      <c r="H492" s="1" cm="1">
        <f t="array" ref="H492">VALUE(INDEX(_xlfn.TEXTSPLIT(Table1[[#This Row],[Item]], "-"), 7))</f>
        <v>1</v>
      </c>
      <c r="I49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92" s="1" t="str">
        <f>LEFT(RIGHT(Table1[[#This Row],[Item]],6),1)</f>
        <v>N</v>
      </c>
      <c r="K492" s="1" t="str">
        <f t="shared" si="8"/>
        <v>N</v>
      </c>
      <c r="L492" s="1" t="str">
        <f>RIGHT(Table1[[#This Row],[Item]],2)</f>
        <v>BR</v>
      </c>
      <c r="M492" s="1" t="s">
        <v>33</v>
      </c>
      <c r="N492" s="3" t="s">
        <v>511</v>
      </c>
      <c r="O492" s="1"/>
    </row>
    <row r="493" spans="1:15" ht="15" customHeight="1">
      <c r="A493" t="s">
        <v>512</v>
      </c>
      <c r="B493" s="1" t="str">
        <f>LEFT(Table1[[#This Row],[Item]], FIND("-", Table1[[#This Row],[Item]]) - 1)</f>
        <v>GX10</v>
      </c>
      <c r="C493" s="1" t="str">
        <f>MID(LEFT(Table1[[#This Row],[Item]], FIND("{token}", SUBSTITUTE(Table1[[#This Row],[Item]], "-", "{token}", 2)) - 1), FIND("-", Table1[[#This Row],[Item]]) + 1, LEN(Table1[[#This Row],[Item]]))</f>
        <v>CXL</v>
      </c>
      <c r="D493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49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93" s="1" cm="1">
        <f t="array" ref="F493">VALUE(INDEX(_xlfn.TEXTSPLIT(Table1[[#This Row],[Item]], "-"), 5))</f>
        <v>1</v>
      </c>
      <c r="G493" s="1" cm="1">
        <f t="array" ref="G493">VALUE(INDEX(_xlfn.TEXTSPLIT(Table1[[#This Row],[Item]], "-"), 6))</f>
        <v>1</v>
      </c>
      <c r="H493" s="1" cm="1">
        <f t="array" ref="H493">VALUE(INDEX(_xlfn.TEXTSPLIT(Table1[[#This Row],[Item]], "-"), 7))</f>
        <v>0</v>
      </c>
      <c r="I49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93" s="1" t="str">
        <f>LEFT(RIGHT(Table1[[#This Row],[Item]],6),1)</f>
        <v>N</v>
      </c>
      <c r="K493" s="1" t="str">
        <f t="shared" si="8"/>
        <v>N</v>
      </c>
      <c r="L493" s="1" t="str">
        <f>RIGHT(Table1[[#This Row],[Item]],2)</f>
        <v>BR</v>
      </c>
      <c r="M493" s="1" t="s">
        <v>33</v>
      </c>
      <c r="N493" s="3" t="s">
        <v>512</v>
      </c>
      <c r="O493" s="1"/>
    </row>
    <row r="494" spans="1:15" ht="15" customHeight="1">
      <c r="A494" t="s">
        <v>513</v>
      </c>
      <c r="B494" s="1" t="str">
        <f>LEFT(Table1[[#This Row],[Item]], FIND("-", Table1[[#This Row],[Item]]) - 1)</f>
        <v>GX12</v>
      </c>
      <c r="C494" s="1" t="str">
        <f>MID(LEFT(Table1[[#This Row],[Item]], FIND("{token}", SUBSTITUTE(Table1[[#This Row],[Item]], "-", "{token}", 2)) - 1), FIND("-", Table1[[#This Row],[Item]]) + 1, LEN(Table1[[#This Row],[Item]]))</f>
        <v>C</v>
      </c>
      <c r="D49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9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94" s="1" cm="1">
        <f t="array" ref="F494">VALUE(INDEX(_xlfn.TEXTSPLIT(Table1[[#This Row],[Item]], "-"), 5))</f>
        <v>1</v>
      </c>
      <c r="G494" s="1" cm="1">
        <f t="array" ref="G494">VALUE(INDEX(_xlfn.TEXTSPLIT(Table1[[#This Row],[Item]], "-"), 6))</f>
        <v>2</v>
      </c>
      <c r="H494" s="1" cm="1">
        <f t="array" ref="H494">VALUE(INDEX(_xlfn.TEXTSPLIT(Table1[[#This Row],[Item]], "-"), 7))</f>
        <v>0</v>
      </c>
      <c r="I49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94" s="1" t="str">
        <f>LEFT(RIGHT(Table1[[#This Row],[Item]],6),1)</f>
        <v>N</v>
      </c>
      <c r="K494" s="1" t="str">
        <f t="shared" si="8"/>
        <v>N</v>
      </c>
      <c r="L494" s="1" t="str">
        <f>RIGHT(Table1[[#This Row],[Item]],2)</f>
        <v>BR</v>
      </c>
      <c r="M494" s="1" t="s">
        <v>33</v>
      </c>
      <c r="N494" s="3" t="s">
        <v>513</v>
      </c>
      <c r="O494" s="1"/>
    </row>
    <row r="495" spans="1:15" ht="15" customHeight="1">
      <c r="A495" t="s">
        <v>514</v>
      </c>
      <c r="B495" s="1" t="str">
        <f>LEFT(Table1[[#This Row],[Item]], FIND("-", Table1[[#This Row],[Item]]) - 1)</f>
        <v>GX06</v>
      </c>
      <c r="C495" s="1" t="str">
        <f>MID(LEFT(Table1[[#This Row],[Item]], FIND("{token}", SUBSTITUTE(Table1[[#This Row],[Item]], "-", "{token}", 2)) - 1), FIND("-", Table1[[#This Row],[Item]]) + 1, LEN(Table1[[#This Row],[Item]]))</f>
        <v>R</v>
      </c>
      <c r="D495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49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495" s="1" cm="1">
        <f t="array" ref="F495">VALUE(INDEX(_xlfn.TEXTSPLIT(Table1[[#This Row],[Item]], "-"), 5))</f>
        <v>1</v>
      </c>
      <c r="G495" s="1" cm="1">
        <f t="array" ref="G495">VALUE(INDEX(_xlfn.TEXTSPLIT(Table1[[#This Row],[Item]], "-"), 6))</f>
        <v>0</v>
      </c>
      <c r="H495" s="1" cm="1">
        <f t="array" ref="H495">VALUE(INDEX(_xlfn.TEXTSPLIT(Table1[[#This Row],[Item]], "-"), 7))</f>
        <v>1</v>
      </c>
      <c r="I49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95" s="1" t="str">
        <f>LEFT(RIGHT(Table1[[#This Row],[Item]],6),1)</f>
        <v>N</v>
      </c>
      <c r="K495" s="1" t="str">
        <f t="shared" si="8"/>
        <v>N</v>
      </c>
      <c r="L495" s="1" t="str">
        <f>RIGHT(Table1[[#This Row],[Item]],2)</f>
        <v>BR</v>
      </c>
      <c r="M495" s="1" t="s">
        <v>33</v>
      </c>
      <c r="N495" s="3" t="s">
        <v>514</v>
      </c>
      <c r="O495" s="1"/>
    </row>
    <row r="496" spans="1:15" ht="15" customHeight="1">
      <c r="A496" t="s">
        <v>515</v>
      </c>
      <c r="B496" s="1" t="str">
        <f>LEFT(Table1[[#This Row],[Item]], FIND("-", Table1[[#This Row],[Item]]) - 1)</f>
        <v>GX12</v>
      </c>
      <c r="C496" s="1" t="str">
        <f>MID(LEFT(Table1[[#This Row],[Item]], FIND("{token}", SUBSTITUTE(Table1[[#This Row],[Item]], "-", "{token}", 2)) - 1), FIND("-", Table1[[#This Row],[Item]]) + 1, LEN(Table1[[#This Row],[Item]]))</f>
        <v>CXL</v>
      </c>
      <c r="D496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49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96" s="1" cm="1">
        <f t="array" ref="F496">VALUE(INDEX(_xlfn.TEXTSPLIT(Table1[[#This Row],[Item]], "-"), 5))</f>
        <v>2</v>
      </c>
      <c r="G496" s="1" cm="1">
        <f t="array" ref="G496">VALUE(INDEX(_xlfn.TEXTSPLIT(Table1[[#This Row],[Item]], "-"), 6))</f>
        <v>2</v>
      </c>
      <c r="H496" s="1" cm="1">
        <f t="array" ref="H496">VALUE(INDEX(_xlfn.TEXTSPLIT(Table1[[#This Row],[Item]], "-"), 7))</f>
        <v>0</v>
      </c>
      <c r="I49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96" s="1" t="str">
        <f>LEFT(RIGHT(Table1[[#This Row],[Item]],6),1)</f>
        <v>N</v>
      </c>
      <c r="K496" s="1" t="str">
        <f t="shared" si="8"/>
        <v>N</v>
      </c>
      <c r="L496" s="1" t="str">
        <f>RIGHT(Table1[[#This Row],[Item]],2)</f>
        <v>BR</v>
      </c>
      <c r="M496" s="1" t="s">
        <v>33</v>
      </c>
      <c r="N496" s="3" t="s">
        <v>515</v>
      </c>
      <c r="O496" s="1"/>
    </row>
    <row r="497" spans="1:15" ht="15" customHeight="1">
      <c r="A497" t="s">
        <v>516</v>
      </c>
      <c r="B497" s="1" t="str">
        <f>LEFT(Table1[[#This Row],[Item]], FIND("-", Table1[[#This Row],[Item]]) - 1)</f>
        <v>ARB8</v>
      </c>
      <c r="C497" s="1" t="str">
        <f>MID(LEFT(Table1[[#This Row],[Item]], FIND("{token}", SUBSTITUTE(Table1[[#This Row],[Item]], "-", "{token}", 2)) - 1), FIND("-", Table1[[#This Row],[Item]]) + 1, LEN(Table1[[#This Row],[Item]]))</f>
        <v>L</v>
      </c>
      <c r="D49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9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497" s="1" cm="1">
        <f t="array" ref="F497">VALUE(INDEX(_xlfn.TEXTSPLIT(Table1[[#This Row],[Item]], "-"), 5))</f>
        <v>1</v>
      </c>
      <c r="G497" s="1" cm="1">
        <f t="array" ref="G497">VALUE(INDEX(_xlfn.TEXTSPLIT(Table1[[#This Row],[Item]], "-"), 6))</f>
        <v>0</v>
      </c>
      <c r="H497" s="1" cm="1">
        <f t="array" ref="H497">VALUE(INDEX(_xlfn.TEXTSPLIT(Table1[[#This Row],[Item]], "-"), 7))</f>
        <v>1</v>
      </c>
      <c r="I497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497" s="1" t="str">
        <f>LEFT(RIGHT(Table1[[#This Row],[Item]],6),1)</f>
        <v>Y</v>
      </c>
      <c r="K497" s="1" t="str">
        <f t="shared" si="8"/>
        <v>Y</v>
      </c>
      <c r="L497" s="1" t="str">
        <f>RIGHT(Table1[[#This Row],[Item]],2)</f>
        <v>BR</v>
      </c>
      <c r="M497" s="1" t="s">
        <v>33</v>
      </c>
      <c r="N497" s="3" t="s">
        <v>517</v>
      </c>
      <c r="O497" s="1"/>
    </row>
    <row r="498" spans="1:15" ht="15" customHeight="1">
      <c r="A498" t="s">
        <v>518</v>
      </c>
      <c r="B498" s="1" t="str">
        <f>LEFT(Table1[[#This Row],[Item]], FIND("-", Table1[[#This Row],[Item]]) - 1)</f>
        <v>GX08</v>
      </c>
      <c r="C498" s="1" t="str">
        <f>MID(LEFT(Table1[[#This Row],[Item]], FIND("{token}", SUBSTITUTE(Table1[[#This Row],[Item]], "-", "{token}", 2)) - 1), FIND("-", Table1[[#This Row],[Item]]) + 1, LEN(Table1[[#This Row],[Item]]))</f>
        <v>R</v>
      </c>
      <c r="D49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9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498" s="1" cm="1">
        <f t="array" ref="F498">VALUE(INDEX(_xlfn.TEXTSPLIT(Table1[[#This Row],[Item]], "-"), 5))</f>
        <v>0</v>
      </c>
      <c r="G498" s="1" cm="1">
        <f t="array" ref="G498">VALUE(INDEX(_xlfn.TEXTSPLIT(Table1[[#This Row],[Item]], "-"), 6))</f>
        <v>1</v>
      </c>
      <c r="H498" s="1" cm="1">
        <f t="array" ref="H498">VALUE(INDEX(_xlfn.TEXTSPLIT(Table1[[#This Row],[Item]], "-"), 7))</f>
        <v>0</v>
      </c>
      <c r="I49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498" s="1" t="str">
        <f>LEFT(RIGHT(Table1[[#This Row],[Item]],6),1)</f>
        <v>N</v>
      </c>
      <c r="K498" s="1" t="str">
        <f t="shared" si="8"/>
        <v>N</v>
      </c>
      <c r="L498" s="1" t="str">
        <f>RIGHT(Table1[[#This Row],[Item]],2)</f>
        <v>BR</v>
      </c>
      <c r="M498" s="1" t="s">
        <v>33</v>
      </c>
      <c r="N498" s="3" t="s">
        <v>518</v>
      </c>
      <c r="O498" s="1"/>
    </row>
    <row r="499" spans="1:15" ht="15" customHeight="1">
      <c r="A499" t="s">
        <v>519</v>
      </c>
      <c r="B499" s="1" t="str">
        <f>LEFT(Table1[[#This Row],[Item]], FIND("-", Table1[[#This Row],[Item]]) - 1)</f>
        <v>MA12</v>
      </c>
      <c r="C499" s="1" t="str">
        <f>MID(LEFT(Table1[[#This Row],[Item]], FIND("{token}", SUBSTITUTE(Table1[[#This Row],[Item]], "-", "{token}", 2)) - 1), FIND("-", Table1[[#This Row],[Item]]) + 1, LEN(Table1[[#This Row],[Item]]))</f>
        <v>DXL</v>
      </c>
      <c r="D49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49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499" s="1" cm="1">
        <f t="array" ref="F499">VALUE(INDEX(_xlfn.TEXTSPLIT(Table1[[#This Row],[Item]], "-"), 5))</f>
        <v>0</v>
      </c>
      <c r="G499" s="1" cm="1">
        <f t="array" ref="G499">VALUE(INDEX(_xlfn.TEXTSPLIT(Table1[[#This Row],[Item]], "-"), 6))</f>
        <v>0</v>
      </c>
      <c r="H499" s="1" cm="1">
        <f t="array" ref="H499">VALUE(INDEX(_xlfn.TEXTSPLIT(Table1[[#This Row],[Item]], "-"), 7))</f>
        <v>0</v>
      </c>
      <c r="I499" s="1" t="str">
        <f>MID(LEFT(Table1[[#This Row],[Item]], FIND("{token}", SUBSTITUTE(Table1[[#This Row],[Item]], "-", "{token}", 8)) - 1), FIND("{token}", SUBSTITUTE(Table1[[#This Row],[Item]], "-", "{token}", 7)) + 1, LEN(Table1[[#This Row],[Item]]))</f>
        <v>SPO</v>
      </c>
      <c r="J499" s="1" t="str">
        <f>LEFT(RIGHT(Table1[[#This Row],[Item]],6),1)</f>
        <v>Y</v>
      </c>
      <c r="K499" s="1" t="str">
        <f t="shared" si="8"/>
        <v>Y</v>
      </c>
      <c r="L499" s="1" t="str">
        <f>RIGHT(Table1[[#This Row],[Item]],2)</f>
        <v>BR</v>
      </c>
      <c r="M499" s="1" t="s">
        <v>33</v>
      </c>
      <c r="N499" s="3" t="s">
        <v>519</v>
      </c>
      <c r="O499" s="1"/>
    </row>
    <row r="500" spans="1:15" ht="15" customHeight="1">
      <c r="A500" t="s">
        <v>520</v>
      </c>
      <c r="B500" s="1" t="str">
        <f>LEFT(Table1[[#This Row],[Item]], FIND("-", Table1[[#This Row],[Item]]) - 1)</f>
        <v>GX10</v>
      </c>
      <c r="C500" s="1" t="str">
        <f>MID(LEFT(Table1[[#This Row],[Item]], FIND("{token}", SUBSTITUTE(Table1[[#This Row],[Item]], "-", "{token}", 2)) - 1), FIND("-", Table1[[#This Row],[Item]]) + 1, LEN(Table1[[#This Row],[Item]]))</f>
        <v>L</v>
      </c>
      <c r="D500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50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00" s="1" cm="1">
        <f t="array" ref="F500">VALUE(INDEX(_xlfn.TEXTSPLIT(Table1[[#This Row],[Item]], "-"), 5))</f>
        <v>1</v>
      </c>
      <c r="G500" s="1" cm="1">
        <f t="array" ref="G500">VALUE(INDEX(_xlfn.TEXTSPLIT(Table1[[#This Row],[Item]], "-"), 6))</f>
        <v>1</v>
      </c>
      <c r="H500" s="1" cm="1">
        <f t="array" ref="H500">VALUE(INDEX(_xlfn.TEXTSPLIT(Table1[[#This Row],[Item]], "-"), 7))</f>
        <v>1</v>
      </c>
      <c r="I50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00" s="1" t="str">
        <f>LEFT(RIGHT(Table1[[#This Row],[Item]],6),1)</f>
        <v>N</v>
      </c>
      <c r="K500" s="1" t="str">
        <f t="shared" si="8"/>
        <v>N</v>
      </c>
      <c r="L500" s="1" t="str">
        <f>RIGHT(Table1[[#This Row],[Item]],2)</f>
        <v>BR</v>
      </c>
      <c r="M500" s="1" t="s">
        <v>33</v>
      </c>
      <c r="N500" s="3" t="s">
        <v>520</v>
      </c>
      <c r="O500" s="1"/>
    </row>
    <row r="501" spans="1:15" ht="15" customHeight="1">
      <c r="A501" t="s">
        <v>521</v>
      </c>
      <c r="B501" s="1" t="str">
        <f>LEFT(Table1[[#This Row],[Item]], FIND("-", Table1[[#This Row],[Item]]) - 1)</f>
        <v>EASY</v>
      </c>
      <c r="C501" s="1" t="str">
        <f>MID(LEFT(Table1[[#This Row],[Item]], FIND("{token}", SUBSTITUTE(Table1[[#This Row],[Item]], "-", "{token}", 2)) - 1), FIND("-", Table1[[#This Row],[Item]]) + 1, LEN(Table1[[#This Row],[Item]]))</f>
        <v>C</v>
      </c>
      <c r="D50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0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01" s="1" cm="1">
        <f t="array" ref="F501">VALUE(INDEX(_xlfn.TEXTSPLIT(Table1[[#This Row],[Item]], "-"), 5))</f>
        <v>4</v>
      </c>
      <c r="G501" s="1" cm="1">
        <f t="array" ref="G501">VALUE(INDEX(_xlfn.TEXTSPLIT(Table1[[#This Row],[Item]], "-"), 6))</f>
        <v>0</v>
      </c>
      <c r="H501" s="1" cm="1">
        <f t="array" ref="H501">VALUE(INDEX(_xlfn.TEXTSPLIT(Table1[[#This Row],[Item]], "-"), 7))</f>
        <v>0</v>
      </c>
      <c r="I50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01" s="1" t="str">
        <f>LEFT(RIGHT(Table1[[#This Row],[Item]],6),1)</f>
        <v>N</v>
      </c>
      <c r="K501" s="1" t="str">
        <f t="shared" si="8"/>
        <v>N</v>
      </c>
      <c r="L501" s="1" t="str">
        <f>RIGHT(Table1[[#This Row],[Item]],2)</f>
        <v>BR</v>
      </c>
      <c r="M501" s="1" t="s">
        <v>33</v>
      </c>
      <c r="N501" s="3" t="s">
        <v>521</v>
      </c>
      <c r="O501" s="1"/>
    </row>
    <row r="502" spans="1:15" ht="15" customHeight="1">
      <c r="A502" t="s">
        <v>522</v>
      </c>
      <c r="B502" s="1" t="str">
        <f>LEFT(Table1[[#This Row],[Item]], FIND("-", Table1[[#This Row],[Item]]) - 1)</f>
        <v>GX12</v>
      </c>
      <c r="C502" s="1" t="str">
        <f>MID(LEFT(Table1[[#This Row],[Item]], FIND("{token}", SUBSTITUTE(Table1[[#This Row],[Item]], "-", "{token}", 2)) - 1), FIND("-", Table1[[#This Row],[Item]]) + 1, LEN(Table1[[#This Row],[Item]]))</f>
        <v>CXL</v>
      </c>
      <c r="D50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0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02" s="1" cm="1">
        <f t="array" ref="F502">VALUE(INDEX(_xlfn.TEXTSPLIT(Table1[[#This Row],[Item]], "-"), 5))</f>
        <v>2</v>
      </c>
      <c r="G502" s="1" cm="1">
        <f t="array" ref="G502">VALUE(INDEX(_xlfn.TEXTSPLIT(Table1[[#This Row],[Item]], "-"), 6))</f>
        <v>2</v>
      </c>
      <c r="H502" s="1" cm="1">
        <f t="array" ref="H502">VALUE(INDEX(_xlfn.TEXTSPLIT(Table1[[#This Row],[Item]], "-"), 7))</f>
        <v>0</v>
      </c>
      <c r="I50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02" s="1" t="str">
        <f>LEFT(RIGHT(Table1[[#This Row],[Item]],6),1)</f>
        <v>N</v>
      </c>
      <c r="K502" s="1" t="str">
        <f t="shared" si="8"/>
        <v>N</v>
      </c>
      <c r="L502" s="1" t="str">
        <f>RIGHT(Table1[[#This Row],[Item]],2)</f>
        <v>BR</v>
      </c>
      <c r="M502" s="1" t="s">
        <v>33</v>
      </c>
      <c r="N502" s="3" t="s">
        <v>522</v>
      </c>
      <c r="O502" s="1"/>
    </row>
    <row r="503" spans="1:15" ht="15" customHeight="1">
      <c r="A503" t="s">
        <v>523</v>
      </c>
      <c r="B503" s="1" t="str">
        <f>LEFT(Table1[[#This Row],[Item]], FIND("-", Table1[[#This Row],[Item]]) - 1)</f>
        <v>GX09</v>
      </c>
      <c r="C503" s="1" t="str">
        <f>MID(LEFT(Table1[[#This Row],[Item]], FIND("{token}", SUBSTITUTE(Table1[[#This Row],[Item]], "-", "{token}", 2)) - 1), FIND("-", Table1[[#This Row],[Item]]) + 1, LEN(Table1[[#This Row],[Item]]))</f>
        <v>RXL</v>
      </c>
      <c r="D50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0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03" s="1" cm="1">
        <f t="array" ref="F503">VALUE(INDEX(_xlfn.TEXTSPLIT(Table1[[#This Row],[Item]], "-"), 5))</f>
        <v>1</v>
      </c>
      <c r="G503" s="1" cm="1">
        <f t="array" ref="G503">VALUE(INDEX(_xlfn.TEXTSPLIT(Table1[[#This Row],[Item]], "-"), 6))</f>
        <v>1</v>
      </c>
      <c r="H503" s="1" cm="1">
        <f t="array" ref="H503">VALUE(INDEX(_xlfn.TEXTSPLIT(Table1[[#This Row],[Item]], "-"), 7))</f>
        <v>1</v>
      </c>
      <c r="I50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03" s="1" t="str">
        <f>LEFT(RIGHT(Table1[[#This Row],[Item]],6),1)</f>
        <v>N</v>
      </c>
      <c r="K503" s="1" t="str">
        <f t="shared" si="8"/>
        <v>N</v>
      </c>
      <c r="L503" s="1" t="str">
        <f>RIGHT(Table1[[#This Row],[Item]],2)</f>
        <v>BR</v>
      </c>
      <c r="M503" s="1" t="s">
        <v>33</v>
      </c>
      <c r="N503" s="3" t="s">
        <v>523</v>
      </c>
      <c r="O503" s="1"/>
    </row>
    <row r="504" spans="1:15" ht="15" customHeight="1">
      <c r="A504" t="s">
        <v>524</v>
      </c>
      <c r="B504" s="1" t="str">
        <f>LEFT(Table1[[#This Row],[Item]], FIND("-", Table1[[#This Row],[Item]]) - 1)</f>
        <v>GX08</v>
      </c>
      <c r="C504" s="1" t="str">
        <f>MID(LEFT(Table1[[#This Row],[Item]], FIND("{token}", SUBSTITUTE(Table1[[#This Row],[Item]], "-", "{token}", 2)) - 1), FIND("-", Table1[[#This Row],[Item]]) + 1, LEN(Table1[[#This Row],[Item]]))</f>
        <v>C</v>
      </c>
      <c r="D504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50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04" s="1" cm="1">
        <f t="array" ref="F504">VALUE(INDEX(_xlfn.TEXTSPLIT(Table1[[#This Row],[Item]], "-"), 5))</f>
        <v>1</v>
      </c>
      <c r="G504" s="1" cm="1">
        <f t="array" ref="G504">VALUE(INDEX(_xlfn.TEXTSPLIT(Table1[[#This Row],[Item]], "-"), 6))</f>
        <v>1</v>
      </c>
      <c r="H504" s="1" cm="1">
        <f t="array" ref="H504">VALUE(INDEX(_xlfn.TEXTSPLIT(Table1[[#This Row],[Item]], "-"), 7))</f>
        <v>0</v>
      </c>
      <c r="I50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04" s="1" t="str">
        <f>LEFT(RIGHT(Table1[[#This Row],[Item]],6),1)</f>
        <v>N</v>
      </c>
      <c r="K504" s="1" t="str">
        <f t="shared" si="8"/>
        <v>N</v>
      </c>
      <c r="L504" s="1" t="str">
        <f>RIGHT(Table1[[#This Row],[Item]],2)</f>
        <v>BR</v>
      </c>
      <c r="M504" s="1" t="s">
        <v>33</v>
      </c>
      <c r="N504" s="3" t="s">
        <v>524</v>
      </c>
      <c r="O504" s="1"/>
    </row>
    <row r="505" spans="1:15" ht="15" customHeight="1">
      <c r="A505" t="s">
        <v>525</v>
      </c>
      <c r="B505" s="1" t="str">
        <f>LEFT(Table1[[#This Row],[Item]], FIND("-", Table1[[#This Row],[Item]]) - 1)</f>
        <v>GX09</v>
      </c>
      <c r="C505" s="1" t="str">
        <f>MID(LEFT(Table1[[#This Row],[Item]], FIND("{token}", SUBSTITUTE(Table1[[#This Row],[Item]], "-", "{token}", 2)) - 1), FIND("-", Table1[[#This Row],[Item]]) + 1, LEN(Table1[[#This Row],[Item]]))</f>
        <v>R</v>
      </c>
      <c r="D505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50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05" s="1" cm="1">
        <f t="array" ref="F505">VALUE(INDEX(_xlfn.TEXTSPLIT(Table1[[#This Row],[Item]], "-"), 5))</f>
        <v>1</v>
      </c>
      <c r="G505" s="1" cm="1">
        <f t="array" ref="G505">VALUE(INDEX(_xlfn.TEXTSPLIT(Table1[[#This Row],[Item]], "-"), 6))</f>
        <v>1</v>
      </c>
      <c r="H505" s="1" cm="1">
        <f t="array" ref="H505">VALUE(INDEX(_xlfn.TEXTSPLIT(Table1[[#This Row],[Item]], "-"), 7))</f>
        <v>1</v>
      </c>
      <c r="I50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05" s="1" t="str">
        <f>LEFT(RIGHT(Table1[[#This Row],[Item]],6),1)</f>
        <v>N</v>
      </c>
      <c r="K505" s="1" t="str">
        <f t="shared" si="8"/>
        <v>N</v>
      </c>
      <c r="L505" s="1" t="str">
        <f>RIGHT(Table1[[#This Row],[Item]],2)</f>
        <v>BR</v>
      </c>
      <c r="M505" s="1" t="s">
        <v>33</v>
      </c>
      <c r="N505" s="3" t="s">
        <v>525</v>
      </c>
      <c r="O505" s="1"/>
    </row>
    <row r="506" spans="1:15" ht="15" customHeight="1">
      <c r="A506" t="s">
        <v>526</v>
      </c>
      <c r="B506" s="1" t="str">
        <f>LEFT(Table1[[#This Row],[Item]], FIND("-", Table1[[#This Row],[Item]]) - 1)</f>
        <v>GX12</v>
      </c>
      <c r="C506" s="1" t="str">
        <f>MID(LEFT(Table1[[#This Row],[Item]], FIND("{token}", SUBSTITUTE(Table1[[#This Row],[Item]], "-", "{token}", 2)) - 1), FIND("-", Table1[[#This Row],[Item]]) + 1, LEN(Table1[[#This Row],[Item]]))</f>
        <v>CXL</v>
      </c>
      <c r="D50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0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06" s="1" cm="1">
        <f t="array" ref="F506">VALUE(INDEX(_xlfn.TEXTSPLIT(Table1[[#This Row],[Item]], "-"), 5))</f>
        <v>2</v>
      </c>
      <c r="G506" s="1" cm="1">
        <f t="array" ref="G506">VALUE(INDEX(_xlfn.TEXTSPLIT(Table1[[#This Row],[Item]], "-"), 6))</f>
        <v>2</v>
      </c>
      <c r="H506" s="1" cm="1">
        <f t="array" ref="H506">VALUE(INDEX(_xlfn.TEXTSPLIT(Table1[[#This Row],[Item]], "-"), 7))</f>
        <v>1</v>
      </c>
      <c r="I50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06" s="1" t="str">
        <f>LEFT(RIGHT(Table1[[#This Row],[Item]],6),1)</f>
        <v>N</v>
      </c>
      <c r="K506" s="1" t="str">
        <f t="shared" si="8"/>
        <v>N</v>
      </c>
      <c r="L506" s="1" t="str">
        <f>RIGHT(Table1[[#This Row],[Item]],2)</f>
        <v>BR</v>
      </c>
      <c r="M506" s="1" t="s">
        <v>33</v>
      </c>
      <c r="N506" s="3" t="s">
        <v>526</v>
      </c>
      <c r="O506" s="1"/>
    </row>
    <row r="507" spans="1:15" ht="15" customHeight="1">
      <c r="A507" t="s">
        <v>527</v>
      </c>
      <c r="B507" s="1" t="str">
        <f>LEFT(Table1[[#This Row],[Item]], FIND("-", Table1[[#This Row],[Item]]) - 1)</f>
        <v>STC8</v>
      </c>
      <c r="C507" s="1" t="str">
        <f>MID(LEFT(Table1[[#This Row],[Item]], FIND("{token}", SUBSTITUTE(Table1[[#This Row],[Item]], "-", "{token}", 2)) - 1), FIND("-", Table1[[#This Row],[Item]]) + 1, LEN(Table1[[#This Row],[Item]]))</f>
        <v>N</v>
      </c>
      <c r="D50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0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07" s="1" cm="1">
        <f t="array" ref="F507">VALUE(INDEX(_xlfn.TEXTSPLIT(Table1[[#This Row],[Item]], "-"), 5))</f>
        <v>1</v>
      </c>
      <c r="G507" s="1" cm="1">
        <f t="array" ref="G507">VALUE(INDEX(_xlfn.TEXTSPLIT(Table1[[#This Row],[Item]], "-"), 6))</f>
        <v>0</v>
      </c>
      <c r="H507" s="1" cm="1">
        <f t="array" ref="H507">VALUE(INDEX(_xlfn.TEXTSPLIT(Table1[[#This Row],[Item]], "-"), 7))</f>
        <v>0</v>
      </c>
      <c r="I50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07" s="1" t="str">
        <f>LEFT(RIGHT(Table1[[#This Row],[Item]],6),1)</f>
        <v>Y</v>
      </c>
      <c r="K507" s="1" t="str">
        <f t="shared" si="8"/>
        <v>N</v>
      </c>
      <c r="L507" s="1" t="str">
        <f>RIGHT(Table1[[#This Row],[Item]],2)</f>
        <v>BR</v>
      </c>
      <c r="M507" s="1" t="s">
        <v>33</v>
      </c>
      <c r="N507" s="3" t="s">
        <v>527</v>
      </c>
      <c r="O507" s="1"/>
    </row>
    <row r="508" spans="1:15" ht="15" customHeight="1">
      <c r="A508" t="s">
        <v>528</v>
      </c>
      <c r="B508" s="1" t="str">
        <f>LEFT(Table1[[#This Row],[Item]], FIND("-", Table1[[#This Row],[Item]]) - 1)</f>
        <v>GX10</v>
      </c>
      <c r="C508" s="1" t="str">
        <f>MID(LEFT(Table1[[#This Row],[Item]], FIND("{token}", SUBSTITUTE(Table1[[#This Row],[Item]], "-", "{token}", 2)) - 1), FIND("-", Table1[[#This Row],[Item]]) + 1, LEN(Table1[[#This Row],[Item]]))</f>
        <v>L</v>
      </c>
      <c r="D50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0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08" s="1" cm="1">
        <f t="array" ref="F508">VALUE(INDEX(_xlfn.TEXTSPLIT(Table1[[#This Row],[Item]], "-"), 5))</f>
        <v>1</v>
      </c>
      <c r="G508" s="1" cm="1">
        <f t="array" ref="G508">VALUE(INDEX(_xlfn.TEXTSPLIT(Table1[[#This Row],[Item]], "-"), 6))</f>
        <v>0</v>
      </c>
      <c r="H508" s="1" cm="1">
        <f t="array" ref="H508">VALUE(INDEX(_xlfn.TEXTSPLIT(Table1[[#This Row],[Item]], "-"), 7))</f>
        <v>0</v>
      </c>
      <c r="I50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08" s="1" t="str">
        <f>LEFT(RIGHT(Table1[[#This Row],[Item]],6),1)</f>
        <v>N</v>
      </c>
      <c r="K508" s="1" t="str">
        <f t="shared" si="8"/>
        <v>N</v>
      </c>
      <c r="L508" s="1" t="str">
        <f>RIGHT(Table1[[#This Row],[Item]],2)</f>
        <v>BR</v>
      </c>
      <c r="M508" s="1" t="s">
        <v>33</v>
      </c>
      <c r="N508" s="3" t="s">
        <v>528</v>
      </c>
      <c r="O508" s="1"/>
    </row>
    <row r="509" spans="1:15" ht="15" customHeight="1">
      <c r="A509" t="s">
        <v>529</v>
      </c>
      <c r="B509" s="1" t="str">
        <f>LEFT(Table1[[#This Row],[Item]], FIND("-", Table1[[#This Row],[Item]]) - 1)</f>
        <v>MA12</v>
      </c>
      <c r="C509" s="1" t="str">
        <f>MID(LEFT(Table1[[#This Row],[Item]], FIND("{token}", SUBSTITUTE(Table1[[#This Row],[Item]], "-", "{token}", 2)) - 1), FIND("-", Table1[[#This Row],[Item]]) + 1, LEN(Table1[[#This Row],[Item]]))</f>
        <v>N</v>
      </c>
      <c r="D50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0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09" s="1" cm="1">
        <f t="array" ref="F509">VALUE(INDEX(_xlfn.TEXTSPLIT(Table1[[#This Row],[Item]], "-"), 5))</f>
        <v>2</v>
      </c>
      <c r="G509" s="1" cm="1">
        <f t="array" ref="G509">VALUE(INDEX(_xlfn.TEXTSPLIT(Table1[[#This Row],[Item]], "-"), 6))</f>
        <v>0</v>
      </c>
      <c r="H509" s="1" cm="1">
        <f t="array" ref="H509">VALUE(INDEX(_xlfn.TEXTSPLIT(Table1[[#This Row],[Item]], "-"), 7))</f>
        <v>0</v>
      </c>
      <c r="I509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509" s="1" t="str">
        <f>LEFT(RIGHT(Table1[[#This Row],[Item]],6),1)</f>
        <v>Y</v>
      </c>
      <c r="K509" s="1" t="str">
        <f t="shared" si="8"/>
        <v>Y</v>
      </c>
      <c r="L509" s="1" t="str">
        <f>RIGHT(Table1[[#This Row],[Item]],2)</f>
        <v>BR</v>
      </c>
      <c r="M509" s="1" t="s">
        <v>33</v>
      </c>
      <c r="N509" s="3" t="s">
        <v>529</v>
      </c>
      <c r="O509" s="1"/>
    </row>
    <row r="510" spans="1:15" ht="15" customHeight="1">
      <c r="A510" t="s">
        <v>530</v>
      </c>
      <c r="B510" s="1" t="str">
        <f>LEFT(Table1[[#This Row],[Item]], FIND("-", Table1[[#This Row],[Item]]) - 1)</f>
        <v>GX06</v>
      </c>
      <c r="C510" s="1" t="str">
        <f>MID(LEFT(Table1[[#This Row],[Item]], FIND("{token}", SUBSTITUTE(Table1[[#This Row],[Item]], "-", "{token}", 2)) - 1), FIND("-", Table1[[#This Row],[Item]]) + 1, LEN(Table1[[#This Row],[Item]]))</f>
        <v>R</v>
      </c>
      <c r="D51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1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10" s="1" cm="1">
        <f t="array" ref="F510">VALUE(INDEX(_xlfn.TEXTSPLIT(Table1[[#This Row],[Item]], "-"), 5))</f>
        <v>1</v>
      </c>
      <c r="G510" s="1" cm="1">
        <f t="array" ref="G510">VALUE(INDEX(_xlfn.TEXTSPLIT(Table1[[#This Row],[Item]], "-"), 6))</f>
        <v>1</v>
      </c>
      <c r="H510" s="1" cm="1">
        <f t="array" ref="H510">VALUE(INDEX(_xlfn.TEXTSPLIT(Table1[[#This Row],[Item]], "-"), 7))</f>
        <v>1</v>
      </c>
      <c r="I51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10" s="1" t="str">
        <f>LEFT(RIGHT(Table1[[#This Row],[Item]],6),1)</f>
        <v>N</v>
      </c>
      <c r="K510" s="1" t="str">
        <f t="shared" si="8"/>
        <v>N</v>
      </c>
      <c r="L510" s="1" t="str">
        <f>RIGHT(Table1[[#This Row],[Item]],2)</f>
        <v>BR</v>
      </c>
      <c r="M510" s="1" t="s">
        <v>33</v>
      </c>
      <c r="N510" s="3" t="s">
        <v>530</v>
      </c>
      <c r="O510" s="1"/>
    </row>
    <row r="511" spans="1:15" ht="15" customHeight="1">
      <c r="A511" t="s">
        <v>531</v>
      </c>
      <c r="B511" s="1" t="str">
        <f>LEFT(Table1[[#This Row],[Item]], FIND("-", Table1[[#This Row],[Item]]) - 1)</f>
        <v>MA12</v>
      </c>
      <c r="C511" s="1" t="str">
        <f>MID(LEFT(Table1[[#This Row],[Item]], FIND("{token}", SUBSTITUTE(Table1[[#This Row],[Item]], "-", "{token}", 2)) - 1), FIND("-", Table1[[#This Row],[Item]]) + 1, LEN(Table1[[#This Row],[Item]]))</f>
        <v>D</v>
      </c>
      <c r="D51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51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511" s="1" cm="1">
        <f t="array" ref="F511">VALUE(INDEX(_xlfn.TEXTSPLIT(Table1[[#This Row],[Item]], "-"), 5))</f>
        <v>0</v>
      </c>
      <c r="G511" s="1" cm="1">
        <f t="array" ref="G511">VALUE(INDEX(_xlfn.TEXTSPLIT(Table1[[#This Row],[Item]], "-"), 6))</f>
        <v>1</v>
      </c>
      <c r="H511" s="1" cm="1">
        <f t="array" ref="H511">VALUE(INDEX(_xlfn.TEXTSPLIT(Table1[[#This Row],[Item]], "-"), 7))</f>
        <v>0</v>
      </c>
      <c r="I511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511" s="1" t="str">
        <f>LEFT(RIGHT(Table1[[#This Row],[Item]],6),1)</f>
        <v>Y</v>
      </c>
      <c r="K511" s="1" t="str">
        <f t="shared" si="8"/>
        <v>Y</v>
      </c>
      <c r="L511" s="1" t="str">
        <f>RIGHT(Table1[[#This Row],[Item]],2)</f>
        <v>BR</v>
      </c>
      <c r="M511" s="1" t="s">
        <v>33</v>
      </c>
      <c r="N511" s="3" t="s">
        <v>531</v>
      </c>
      <c r="O511" s="1"/>
    </row>
    <row r="512" spans="1:15" ht="15" customHeight="1">
      <c r="A512" t="s">
        <v>532</v>
      </c>
      <c r="B512" s="1" t="str">
        <f>LEFT(Table1[[#This Row],[Item]], FIND("-", Table1[[#This Row],[Item]]) - 1)</f>
        <v>GX08</v>
      </c>
      <c r="C512" s="1" t="str">
        <f>MID(LEFT(Table1[[#This Row],[Item]], FIND("{token}", SUBSTITUTE(Table1[[#This Row],[Item]], "-", "{token}", 2)) - 1), FIND("-", Table1[[#This Row],[Item]]) + 1, LEN(Table1[[#This Row],[Item]]))</f>
        <v>L</v>
      </c>
      <c r="D51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1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12" s="1" cm="1">
        <f t="array" ref="F512">VALUE(INDEX(_xlfn.TEXTSPLIT(Table1[[#This Row],[Item]], "-"), 5))</f>
        <v>1</v>
      </c>
      <c r="G512" s="1" cm="1">
        <f t="array" ref="G512">VALUE(INDEX(_xlfn.TEXTSPLIT(Table1[[#This Row],[Item]], "-"), 6))</f>
        <v>1</v>
      </c>
      <c r="H512" s="1" cm="1">
        <f t="array" ref="H512">VALUE(INDEX(_xlfn.TEXTSPLIT(Table1[[#This Row],[Item]], "-"), 7))</f>
        <v>0</v>
      </c>
      <c r="I51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12" s="1" t="str">
        <f>LEFT(RIGHT(Table1[[#This Row],[Item]],6),1)</f>
        <v>N</v>
      </c>
      <c r="K512" s="1" t="str">
        <f t="shared" si="8"/>
        <v>N</v>
      </c>
      <c r="L512" s="1" t="str">
        <f>RIGHT(Table1[[#This Row],[Item]],2)</f>
        <v>BR</v>
      </c>
      <c r="M512" s="1" t="s">
        <v>33</v>
      </c>
      <c r="N512" s="3" t="s">
        <v>532</v>
      </c>
      <c r="O512" s="1"/>
    </row>
    <row r="513" spans="1:15" ht="15" customHeight="1">
      <c r="A513" t="s">
        <v>533</v>
      </c>
      <c r="B513" s="1" t="str">
        <f>LEFT(Table1[[#This Row],[Item]], FIND("-", Table1[[#This Row],[Item]]) - 1)</f>
        <v>GX09</v>
      </c>
      <c r="C513" s="1" t="str">
        <f>MID(LEFT(Table1[[#This Row],[Item]], FIND("{token}", SUBSTITUTE(Table1[[#This Row],[Item]], "-", "{token}", 2)) - 1), FIND("-", Table1[[#This Row],[Item]]) + 1, LEN(Table1[[#This Row],[Item]]))</f>
        <v>RXL</v>
      </c>
      <c r="D51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1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13" s="1" cm="1">
        <f t="array" ref="F513">VALUE(INDEX(_xlfn.TEXTSPLIT(Table1[[#This Row],[Item]], "-"), 5))</f>
        <v>1</v>
      </c>
      <c r="G513" s="1" cm="1">
        <f t="array" ref="G513">VALUE(INDEX(_xlfn.TEXTSPLIT(Table1[[#This Row],[Item]], "-"), 6))</f>
        <v>2</v>
      </c>
      <c r="H513" s="1" cm="1">
        <f t="array" ref="H513">VALUE(INDEX(_xlfn.TEXTSPLIT(Table1[[#This Row],[Item]], "-"), 7))</f>
        <v>0</v>
      </c>
      <c r="I51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13" s="1" t="str">
        <f>LEFT(RIGHT(Table1[[#This Row],[Item]],6),1)</f>
        <v>N</v>
      </c>
      <c r="K513" s="1" t="str">
        <f t="shared" si="8"/>
        <v>N</v>
      </c>
      <c r="L513" s="1" t="str">
        <f>RIGHT(Table1[[#This Row],[Item]],2)</f>
        <v>BR</v>
      </c>
      <c r="M513" s="1" t="s">
        <v>33</v>
      </c>
      <c r="N513" s="3" t="s">
        <v>533</v>
      </c>
      <c r="O513" s="1"/>
    </row>
    <row r="514" spans="1:15" ht="15" customHeight="1">
      <c r="A514" t="s">
        <v>534</v>
      </c>
      <c r="B514" s="1" t="str">
        <f>LEFT(Table1[[#This Row],[Item]], FIND("-", Table1[[#This Row],[Item]]) - 1)</f>
        <v>GX05</v>
      </c>
      <c r="C514" s="1" t="str">
        <f>MID(LEFT(Table1[[#This Row],[Item]], FIND("{token}", SUBSTITUTE(Table1[[#This Row],[Item]], "-", "{token}", 2)) - 1), FIND("-", Table1[[#This Row],[Item]]) + 1, LEN(Table1[[#This Row],[Item]]))</f>
        <v>R</v>
      </c>
      <c r="D51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1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14" s="1" cm="1">
        <f t="array" ref="F514">VALUE(INDEX(_xlfn.TEXTSPLIT(Table1[[#This Row],[Item]], "-"), 5))</f>
        <v>0</v>
      </c>
      <c r="G514" s="1" cm="1">
        <f t="array" ref="G514">VALUE(INDEX(_xlfn.TEXTSPLIT(Table1[[#This Row],[Item]], "-"), 6))</f>
        <v>1</v>
      </c>
      <c r="H514" s="1" cm="1">
        <f t="array" ref="H514">VALUE(INDEX(_xlfn.TEXTSPLIT(Table1[[#This Row],[Item]], "-"), 7))</f>
        <v>0</v>
      </c>
      <c r="I51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14" s="1" t="str">
        <f>LEFT(RIGHT(Table1[[#This Row],[Item]],6),1)</f>
        <v>N</v>
      </c>
      <c r="K514" s="1" t="str">
        <f t="shared" si="8"/>
        <v>N</v>
      </c>
      <c r="L514" s="1" t="str">
        <f>RIGHT(Table1[[#This Row],[Item]],2)</f>
        <v>BR</v>
      </c>
      <c r="M514" s="1" t="s">
        <v>33</v>
      </c>
      <c r="N514" s="3" t="s">
        <v>534</v>
      </c>
      <c r="O514" s="1"/>
    </row>
    <row r="515" spans="1:15" ht="15" customHeight="1">
      <c r="A515" t="s">
        <v>535</v>
      </c>
      <c r="B515" s="1" t="str">
        <f>LEFT(Table1[[#This Row],[Item]], FIND("-", Table1[[#This Row],[Item]]) - 1)</f>
        <v>GX08</v>
      </c>
      <c r="C515" s="1" t="str">
        <f>MID(LEFT(Table1[[#This Row],[Item]], FIND("{token}", SUBSTITUTE(Table1[[#This Row],[Item]], "-", "{token}", 2)) - 1), FIND("-", Table1[[#This Row],[Item]]) + 1, LEN(Table1[[#This Row],[Item]]))</f>
        <v>L</v>
      </c>
      <c r="D515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51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15" s="1" cm="1">
        <f t="array" ref="F515">VALUE(INDEX(_xlfn.TEXTSPLIT(Table1[[#This Row],[Item]], "-"), 5))</f>
        <v>1</v>
      </c>
      <c r="G515" s="1" cm="1">
        <f t="array" ref="G515">VALUE(INDEX(_xlfn.TEXTSPLIT(Table1[[#This Row],[Item]], "-"), 6))</f>
        <v>1</v>
      </c>
      <c r="H515" s="1" cm="1">
        <f t="array" ref="H515">VALUE(INDEX(_xlfn.TEXTSPLIT(Table1[[#This Row],[Item]], "-"), 7))</f>
        <v>0</v>
      </c>
      <c r="I51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15" s="1" t="str">
        <f>LEFT(RIGHT(Table1[[#This Row],[Item]],6),1)</f>
        <v>N</v>
      </c>
      <c r="K515" s="1" t="str">
        <f t="shared" si="8"/>
        <v>N</v>
      </c>
      <c r="L515" s="1" t="str">
        <f>RIGHT(Table1[[#This Row],[Item]],2)</f>
        <v>BR</v>
      </c>
      <c r="M515" s="1" t="s">
        <v>33</v>
      </c>
      <c r="N515" s="3" t="s">
        <v>535</v>
      </c>
      <c r="O515" s="1"/>
    </row>
    <row r="516" spans="1:15" ht="15" customHeight="1">
      <c r="A516" t="s">
        <v>536</v>
      </c>
      <c r="B516" s="1" t="str">
        <f>LEFT(Table1[[#This Row],[Item]], FIND("-", Table1[[#This Row],[Item]]) - 1)</f>
        <v>GX08</v>
      </c>
      <c r="C516" s="1" t="str">
        <f>MID(LEFT(Table1[[#This Row],[Item]], FIND("{token}", SUBSTITUTE(Table1[[#This Row],[Item]], "-", "{token}", 2)) - 1), FIND("-", Table1[[#This Row],[Item]]) + 1, LEN(Table1[[#This Row],[Item]]))</f>
        <v>LXL</v>
      </c>
      <c r="D51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1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16" s="1" cm="1">
        <f t="array" ref="F516">VALUE(INDEX(_xlfn.TEXTSPLIT(Table1[[#This Row],[Item]], "-"), 5))</f>
        <v>1</v>
      </c>
      <c r="G516" s="1" cm="1">
        <f t="array" ref="G516">VALUE(INDEX(_xlfn.TEXTSPLIT(Table1[[#This Row],[Item]], "-"), 6))</f>
        <v>1</v>
      </c>
      <c r="H516" s="1" cm="1">
        <f t="array" ref="H516">VALUE(INDEX(_xlfn.TEXTSPLIT(Table1[[#This Row],[Item]], "-"), 7))</f>
        <v>0</v>
      </c>
      <c r="I51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16" s="1" t="str">
        <f>LEFT(RIGHT(Table1[[#This Row],[Item]],6),1)</f>
        <v>N</v>
      </c>
      <c r="K516" s="1" t="str">
        <f t="shared" si="8"/>
        <v>N</v>
      </c>
      <c r="L516" s="1" t="str">
        <f>RIGHT(Table1[[#This Row],[Item]],2)</f>
        <v>BR</v>
      </c>
      <c r="M516" s="1" t="s">
        <v>33</v>
      </c>
      <c r="N516" s="3" t="s">
        <v>536</v>
      </c>
      <c r="O516" s="1"/>
    </row>
    <row r="517" spans="1:15" ht="15" customHeight="1">
      <c r="A517" t="s">
        <v>537</v>
      </c>
      <c r="B517" s="1" t="str">
        <f>LEFT(Table1[[#This Row],[Item]], FIND("-", Table1[[#This Row],[Item]]) - 1)</f>
        <v>GX14</v>
      </c>
      <c r="C517" s="1" t="str">
        <f>MID(LEFT(Table1[[#This Row],[Item]], FIND("{token}", SUBSTITUTE(Table1[[#This Row],[Item]], "-", "{token}", 2)) - 1), FIND("-", Table1[[#This Row],[Item]]) + 1, LEN(Table1[[#This Row],[Item]]))</f>
        <v>C</v>
      </c>
      <c r="D51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1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17" s="1" cm="1">
        <f t="array" ref="F517">VALUE(INDEX(_xlfn.TEXTSPLIT(Table1[[#This Row],[Item]], "-"), 5))</f>
        <v>1</v>
      </c>
      <c r="G517" s="1" cm="1">
        <f t="array" ref="G517">VALUE(INDEX(_xlfn.TEXTSPLIT(Table1[[#This Row],[Item]], "-"), 6))</f>
        <v>1</v>
      </c>
      <c r="H517" s="1" cm="1">
        <f t="array" ref="H517">VALUE(INDEX(_xlfn.TEXTSPLIT(Table1[[#This Row],[Item]], "-"), 7))</f>
        <v>0</v>
      </c>
      <c r="I51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17" s="1" t="str">
        <f>LEFT(RIGHT(Table1[[#This Row],[Item]],6),1)</f>
        <v>N</v>
      </c>
      <c r="K517" s="1" t="str">
        <f t="shared" si="8"/>
        <v>N</v>
      </c>
      <c r="L517" s="1" t="str">
        <f>RIGHT(Table1[[#This Row],[Item]],2)</f>
        <v>BR</v>
      </c>
      <c r="M517" s="1" t="s">
        <v>33</v>
      </c>
      <c r="N517" s="3" t="s">
        <v>537</v>
      </c>
      <c r="O517" s="1"/>
    </row>
    <row r="518" spans="1:15" ht="15" customHeight="1">
      <c r="A518" t="s">
        <v>538</v>
      </c>
      <c r="B518" s="1" t="str">
        <f>LEFT(Table1[[#This Row],[Item]], FIND("-", Table1[[#This Row],[Item]]) - 1)</f>
        <v>GX09</v>
      </c>
      <c r="C518" s="1" t="str">
        <f>MID(LEFT(Table1[[#This Row],[Item]], FIND("{token}", SUBSTITUTE(Table1[[#This Row],[Item]], "-", "{token}", 2)) - 1), FIND("-", Table1[[#This Row],[Item]]) + 1, LEN(Table1[[#This Row],[Item]]))</f>
        <v>R</v>
      </c>
      <c r="D518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51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18" s="1" cm="1">
        <f t="array" ref="F518">VALUE(INDEX(_xlfn.TEXTSPLIT(Table1[[#This Row],[Item]], "-"), 5))</f>
        <v>1</v>
      </c>
      <c r="G518" s="1" cm="1">
        <f t="array" ref="G518">VALUE(INDEX(_xlfn.TEXTSPLIT(Table1[[#This Row],[Item]], "-"), 6))</f>
        <v>2</v>
      </c>
      <c r="H518" s="1" cm="1">
        <f t="array" ref="H518">VALUE(INDEX(_xlfn.TEXTSPLIT(Table1[[#This Row],[Item]], "-"), 7))</f>
        <v>0</v>
      </c>
      <c r="I51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18" s="1" t="str">
        <f>LEFT(RIGHT(Table1[[#This Row],[Item]],6),1)</f>
        <v>N</v>
      </c>
      <c r="K518" s="1" t="str">
        <f t="shared" si="8"/>
        <v>N</v>
      </c>
      <c r="L518" s="1" t="str">
        <f>RIGHT(Table1[[#This Row],[Item]],2)</f>
        <v>BR</v>
      </c>
      <c r="M518" s="1" t="s">
        <v>33</v>
      </c>
      <c r="N518" s="3" t="s">
        <v>538</v>
      </c>
      <c r="O518" s="1"/>
    </row>
    <row r="519" spans="1:15" ht="15" customHeight="1">
      <c r="A519" t="s">
        <v>539</v>
      </c>
      <c r="B519" s="1" t="str">
        <f>LEFT(Table1[[#This Row],[Item]], FIND("-", Table1[[#This Row],[Item]]) - 1)</f>
        <v>STC8</v>
      </c>
      <c r="C519" s="1" t="str">
        <f>MID(LEFT(Table1[[#This Row],[Item]], FIND("{token}", SUBSTITUTE(Table1[[#This Row],[Item]], "-", "{token}", 2)) - 1), FIND("-", Table1[[#This Row],[Item]]) + 1, LEN(Table1[[#This Row],[Item]]))</f>
        <v>N</v>
      </c>
      <c r="D51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1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19" s="1" cm="1">
        <f t="array" ref="F519">VALUE(INDEX(_xlfn.TEXTSPLIT(Table1[[#This Row],[Item]], "-"), 5))</f>
        <v>1</v>
      </c>
      <c r="G519" s="1" cm="1">
        <f t="array" ref="G519">VALUE(INDEX(_xlfn.TEXTSPLIT(Table1[[#This Row],[Item]], "-"), 6))</f>
        <v>0</v>
      </c>
      <c r="H519" s="1" cm="1">
        <f t="array" ref="H519">VALUE(INDEX(_xlfn.TEXTSPLIT(Table1[[#This Row],[Item]], "-"), 7))</f>
        <v>0</v>
      </c>
      <c r="I519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519" s="1" t="str">
        <f>LEFT(RIGHT(Table1[[#This Row],[Item]],6),1)</f>
        <v>Y</v>
      </c>
      <c r="K519" s="1" t="str">
        <f t="shared" si="8"/>
        <v>N</v>
      </c>
      <c r="L519" s="1" t="str">
        <f>RIGHT(Table1[[#This Row],[Item]],2)</f>
        <v>BR</v>
      </c>
      <c r="M519" s="1" t="s">
        <v>33</v>
      </c>
      <c r="N519" s="3" t="s">
        <v>539</v>
      </c>
      <c r="O519" s="1"/>
    </row>
    <row r="520" spans="1:15" ht="15" customHeight="1">
      <c r="A520" t="s">
        <v>540</v>
      </c>
      <c r="B520" s="1" t="str">
        <f>LEFT(Table1[[#This Row],[Item]], FIND("-", Table1[[#This Row],[Item]]) - 1)</f>
        <v>GX06</v>
      </c>
      <c r="C520" s="1" t="str">
        <f>MID(LEFT(Table1[[#This Row],[Item]], FIND("{token}", SUBSTITUTE(Table1[[#This Row],[Item]], "-", "{token}", 2)) - 1), FIND("-", Table1[[#This Row],[Item]]) + 1, LEN(Table1[[#This Row],[Item]]))</f>
        <v>RXL</v>
      </c>
      <c r="D52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2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20" s="1" cm="1">
        <f t="array" ref="F520">VALUE(INDEX(_xlfn.TEXTSPLIT(Table1[[#This Row],[Item]], "-"), 5))</f>
        <v>1</v>
      </c>
      <c r="G520" s="1" cm="1">
        <f t="array" ref="G520">VALUE(INDEX(_xlfn.TEXTSPLIT(Table1[[#This Row],[Item]], "-"), 6))</f>
        <v>0</v>
      </c>
      <c r="H520" s="1" cm="1">
        <f t="array" ref="H520">VALUE(INDEX(_xlfn.TEXTSPLIT(Table1[[#This Row],[Item]], "-"), 7))</f>
        <v>1</v>
      </c>
      <c r="I52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20" s="1" t="str">
        <f>LEFT(RIGHT(Table1[[#This Row],[Item]],6),1)</f>
        <v>N</v>
      </c>
      <c r="K520" s="1" t="str">
        <f t="shared" si="8"/>
        <v>N</v>
      </c>
      <c r="L520" s="1" t="str">
        <f>RIGHT(Table1[[#This Row],[Item]],2)</f>
        <v>BR</v>
      </c>
      <c r="M520" s="1" t="s">
        <v>33</v>
      </c>
      <c r="N520" s="3" t="s">
        <v>540</v>
      </c>
      <c r="O520" s="1"/>
    </row>
    <row r="521" spans="1:15" ht="15" customHeight="1">
      <c r="A521" t="s">
        <v>541</v>
      </c>
      <c r="B521" s="1" t="str">
        <f>LEFT(Table1[[#This Row],[Item]], FIND("-", Table1[[#This Row],[Item]]) - 1)</f>
        <v>GX14</v>
      </c>
      <c r="C521" s="1" t="str">
        <f>MID(LEFT(Table1[[#This Row],[Item]], FIND("{token}", SUBSTITUTE(Table1[[#This Row],[Item]], "-", "{token}", 2)) - 1), FIND("-", Table1[[#This Row],[Item]]) + 1, LEN(Table1[[#This Row],[Item]]))</f>
        <v>DXL</v>
      </c>
      <c r="D52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52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21" s="1" cm="1">
        <f t="array" ref="F521">VALUE(INDEX(_xlfn.TEXTSPLIT(Table1[[#This Row],[Item]], "-"), 5))</f>
        <v>2</v>
      </c>
      <c r="G521" s="1" cm="1">
        <f t="array" ref="G521">VALUE(INDEX(_xlfn.TEXTSPLIT(Table1[[#This Row],[Item]], "-"), 6))</f>
        <v>2</v>
      </c>
      <c r="H521" s="1" cm="1">
        <f t="array" ref="H521">VALUE(INDEX(_xlfn.TEXTSPLIT(Table1[[#This Row],[Item]], "-"), 7))</f>
        <v>1</v>
      </c>
      <c r="I52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21" s="1" t="str">
        <f>LEFT(RIGHT(Table1[[#This Row],[Item]],6),1)</f>
        <v>N</v>
      </c>
      <c r="K521" s="1" t="str">
        <f t="shared" si="8"/>
        <v>N</v>
      </c>
      <c r="L521" s="1" t="str">
        <f>RIGHT(Table1[[#This Row],[Item]],2)</f>
        <v>BR</v>
      </c>
      <c r="M521" s="1" t="s">
        <v>33</v>
      </c>
      <c r="N521" s="3" t="s">
        <v>541</v>
      </c>
      <c r="O521" s="1"/>
    </row>
    <row r="522" spans="1:15" ht="15" customHeight="1">
      <c r="A522" t="s">
        <v>542</v>
      </c>
      <c r="B522" s="1" t="str">
        <f>LEFT(Table1[[#This Row],[Item]], FIND("-", Table1[[#This Row],[Item]]) - 1)</f>
        <v>MA10</v>
      </c>
      <c r="C522" s="1" t="str">
        <f>MID(LEFT(Table1[[#This Row],[Item]], FIND("{token}", SUBSTITUTE(Table1[[#This Row],[Item]], "-", "{token}", 2)) - 1), FIND("-", Table1[[#This Row],[Item]]) + 1, LEN(Table1[[#This Row],[Item]]))</f>
        <v>N</v>
      </c>
      <c r="D52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2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22" s="1" cm="1">
        <f t="array" ref="F522">VALUE(INDEX(_xlfn.TEXTSPLIT(Table1[[#This Row],[Item]], "-"), 5))</f>
        <v>0</v>
      </c>
      <c r="G522" s="1" cm="1">
        <f t="array" ref="G522">VALUE(INDEX(_xlfn.TEXTSPLIT(Table1[[#This Row],[Item]], "-"), 6))</f>
        <v>0</v>
      </c>
      <c r="H522" s="1" cm="1">
        <f t="array" ref="H522">VALUE(INDEX(_xlfn.TEXTSPLIT(Table1[[#This Row],[Item]], "-"), 7))</f>
        <v>0</v>
      </c>
      <c r="I52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22" s="1" t="str">
        <f>LEFT(RIGHT(Table1[[#This Row],[Item]],6),1)</f>
        <v>N</v>
      </c>
      <c r="K522" s="1" t="str">
        <f t="shared" si="8"/>
        <v>Y</v>
      </c>
      <c r="L522" s="1" t="str">
        <f>RIGHT(Table1[[#This Row],[Item]],2)</f>
        <v>BR</v>
      </c>
      <c r="M522" s="1" t="s">
        <v>33</v>
      </c>
      <c r="N522" s="3" t="s">
        <v>542</v>
      </c>
      <c r="O522" s="1"/>
    </row>
    <row r="523" spans="1:15" ht="15" customHeight="1">
      <c r="A523" t="s">
        <v>543</v>
      </c>
      <c r="B523" s="1" t="str">
        <f>LEFT(Table1[[#This Row],[Item]], FIND("-", Table1[[#This Row],[Item]]) - 1)</f>
        <v>GX10</v>
      </c>
      <c r="C523" s="1" t="str">
        <f>MID(LEFT(Table1[[#This Row],[Item]], FIND("{token}", SUBSTITUTE(Table1[[#This Row],[Item]], "-", "{token}", 2)) - 1), FIND("-", Table1[[#This Row],[Item]]) + 1, LEN(Table1[[#This Row],[Item]]))</f>
        <v>R</v>
      </c>
      <c r="D523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52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23" s="1" cm="1">
        <f t="array" ref="F523">VALUE(INDEX(_xlfn.TEXTSPLIT(Table1[[#This Row],[Item]], "-"), 5))</f>
        <v>1</v>
      </c>
      <c r="G523" s="1" cm="1">
        <f t="array" ref="G523">VALUE(INDEX(_xlfn.TEXTSPLIT(Table1[[#This Row],[Item]], "-"), 6))</f>
        <v>2</v>
      </c>
      <c r="H523" s="1" cm="1">
        <f t="array" ref="H523">VALUE(INDEX(_xlfn.TEXTSPLIT(Table1[[#This Row],[Item]], "-"), 7))</f>
        <v>0</v>
      </c>
      <c r="I52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23" s="1" t="str">
        <f>LEFT(RIGHT(Table1[[#This Row],[Item]],6),1)</f>
        <v>N</v>
      </c>
      <c r="K523" s="1" t="str">
        <f t="shared" si="8"/>
        <v>N</v>
      </c>
      <c r="L523" s="1" t="str">
        <f>RIGHT(Table1[[#This Row],[Item]],2)</f>
        <v>BR</v>
      </c>
      <c r="M523" s="1" t="s">
        <v>33</v>
      </c>
      <c r="N523" s="3" t="s">
        <v>543</v>
      </c>
      <c r="O523" s="1"/>
    </row>
    <row r="524" spans="1:15" ht="15" customHeight="1">
      <c r="A524" t="s">
        <v>544</v>
      </c>
      <c r="B524" s="1" t="str">
        <f>LEFT(Table1[[#This Row],[Item]], FIND("-", Table1[[#This Row],[Item]]) - 1)</f>
        <v>GX06</v>
      </c>
      <c r="C524" s="1" t="str">
        <f>MID(LEFT(Table1[[#This Row],[Item]], FIND("{token}", SUBSTITUTE(Table1[[#This Row],[Item]], "-", "{token}", 2)) - 1), FIND("-", Table1[[#This Row],[Item]]) + 1, LEN(Table1[[#This Row],[Item]]))</f>
        <v>R</v>
      </c>
      <c r="D52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2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24" s="1" cm="1">
        <f t="array" ref="F524">VALUE(INDEX(_xlfn.TEXTSPLIT(Table1[[#This Row],[Item]], "-"), 5))</f>
        <v>1</v>
      </c>
      <c r="G524" s="1" cm="1">
        <f t="array" ref="G524">VALUE(INDEX(_xlfn.TEXTSPLIT(Table1[[#This Row],[Item]], "-"), 6))</f>
        <v>0</v>
      </c>
      <c r="H524" s="1" cm="1">
        <f t="array" ref="H524">VALUE(INDEX(_xlfn.TEXTSPLIT(Table1[[#This Row],[Item]], "-"), 7))</f>
        <v>1</v>
      </c>
      <c r="I52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24" s="1" t="str">
        <f>LEFT(RIGHT(Table1[[#This Row],[Item]],6),1)</f>
        <v>N</v>
      </c>
      <c r="K524" s="1" t="str">
        <f t="shared" si="8"/>
        <v>N</v>
      </c>
      <c r="L524" s="1" t="str">
        <f>RIGHT(Table1[[#This Row],[Item]],2)</f>
        <v>BR</v>
      </c>
      <c r="M524" s="1" t="s">
        <v>33</v>
      </c>
      <c r="N524" s="3" t="s">
        <v>544</v>
      </c>
      <c r="O524" s="1"/>
    </row>
    <row r="525" spans="1:15" ht="15" customHeight="1">
      <c r="A525" t="s">
        <v>545</v>
      </c>
      <c r="B525" s="1" t="str">
        <f>LEFT(Table1[[#This Row],[Item]], FIND("-", Table1[[#This Row],[Item]]) - 1)</f>
        <v>GX09</v>
      </c>
      <c r="C525" s="1" t="str">
        <f>MID(LEFT(Table1[[#This Row],[Item]], FIND("{token}", SUBSTITUTE(Table1[[#This Row],[Item]], "-", "{token}", 2)) - 1), FIND("-", Table1[[#This Row],[Item]]) + 1, LEN(Table1[[#This Row],[Item]]))</f>
        <v>R</v>
      </c>
      <c r="D525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52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25" s="1" cm="1">
        <f t="array" ref="F525">VALUE(INDEX(_xlfn.TEXTSPLIT(Table1[[#This Row],[Item]], "-"), 5))</f>
        <v>0</v>
      </c>
      <c r="G525" s="1" cm="1">
        <f t="array" ref="G525">VALUE(INDEX(_xlfn.TEXTSPLIT(Table1[[#This Row],[Item]], "-"), 6))</f>
        <v>1</v>
      </c>
      <c r="H525" s="1" cm="1">
        <f t="array" ref="H525">VALUE(INDEX(_xlfn.TEXTSPLIT(Table1[[#This Row],[Item]], "-"), 7))</f>
        <v>1</v>
      </c>
      <c r="I52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25" s="1" t="str">
        <f>LEFT(RIGHT(Table1[[#This Row],[Item]],6),1)</f>
        <v>N</v>
      </c>
      <c r="K525" s="1" t="str">
        <f t="shared" si="8"/>
        <v>N</v>
      </c>
      <c r="L525" s="1" t="str">
        <f>RIGHT(Table1[[#This Row],[Item]],2)</f>
        <v>BR</v>
      </c>
      <c r="M525" s="1" t="s">
        <v>33</v>
      </c>
      <c r="N525" s="3" t="s">
        <v>545</v>
      </c>
      <c r="O525" s="1"/>
    </row>
    <row r="526" spans="1:15" ht="15" customHeight="1">
      <c r="A526" t="s">
        <v>546</v>
      </c>
      <c r="B526" s="1" t="str">
        <f>LEFT(Table1[[#This Row],[Item]], FIND("-", Table1[[#This Row],[Item]]) - 1)</f>
        <v>GX06</v>
      </c>
      <c r="C526" s="1" t="str">
        <f>MID(LEFT(Table1[[#This Row],[Item]], FIND("{token}", SUBSTITUTE(Table1[[#This Row],[Item]], "-", "{token}", 2)) - 1), FIND("-", Table1[[#This Row],[Item]]) + 1, LEN(Table1[[#This Row],[Item]]))</f>
        <v>R</v>
      </c>
      <c r="D52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2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26" s="1" cm="1">
        <f t="array" ref="F526">VALUE(INDEX(_xlfn.TEXTSPLIT(Table1[[#This Row],[Item]], "-"), 5))</f>
        <v>0</v>
      </c>
      <c r="G526" s="1" cm="1">
        <f t="array" ref="G526">VALUE(INDEX(_xlfn.TEXTSPLIT(Table1[[#This Row],[Item]], "-"), 6))</f>
        <v>1</v>
      </c>
      <c r="H526" s="1" cm="1">
        <f t="array" ref="H526">VALUE(INDEX(_xlfn.TEXTSPLIT(Table1[[#This Row],[Item]], "-"), 7))</f>
        <v>0</v>
      </c>
      <c r="I52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26" s="1" t="str">
        <f>LEFT(RIGHT(Table1[[#This Row],[Item]],6),1)</f>
        <v>N</v>
      </c>
      <c r="K526" s="1" t="str">
        <f t="shared" ref="K526:K589" si="9">MID(A526, LEN(A526)-3, 1)</f>
        <v>N</v>
      </c>
      <c r="L526" s="1" t="str">
        <f>RIGHT(Table1[[#This Row],[Item]],2)</f>
        <v>BR</v>
      </c>
      <c r="M526" s="1" t="s">
        <v>33</v>
      </c>
      <c r="N526" s="3" t="s">
        <v>546</v>
      </c>
      <c r="O526" s="1"/>
    </row>
    <row r="527" spans="1:15" ht="15" customHeight="1">
      <c r="A527" t="s">
        <v>547</v>
      </c>
      <c r="B527" s="1" t="str">
        <f>LEFT(Table1[[#This Row],[Item]], FIND("-", Table1[[#This Row],[Item]]) - 1)</f>
        <v>GX10</v>
      </c>
      <c r="C527" s="1" t="str">
        <f>MID(LEFT(Table1[[#This Row],[Item]], FIND("{token}", SUBSTITUTE(Table1[[#This Row],[Item]], "-", "{token}", 2)) - 1), FIND("-", Table1[[#This Row],[Item]]) + 1, LEN(Table1[[#This Row],[Item]]))</f>
        <v>L</v>
      </c>
      <c r="D527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52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27" s="1" cm="1">
        <f t="array" ref="F527">VALUE(INDEX(_xlfn.TEXTSPLIT(Table1[[#This Row],[Item]], "-"), 5))</f>
        <v>1</v>
      </c>
      <c r="G527" s="1" cm="1">
        <f t="array" ref="G527">VALUE(INDEX(_xlfn.TEXTSPLIT(Table1[[#This Row],[Item]], "-"), 6))</f>
        <v>2</v>
      </c>
      <c r="H527" s="1" cm="1">
        <f t="array" ref="H527">VALUE(INDEX(_xlfn.TEXTSPLIT(Table1[[#This Row],[Item]], "-"), 7))</f>
        <v>0</v>
      </c>
      <c r="I52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27" s="1" t="str">
        <f>LEFT(RIGHT(Table1[[#This Row],[Item]],6),1)</f>
        <v>N</v>
      </c>
      <c r="K527" s="1" t="str">
        <f t="shared" si="9"/>
        <v>N</v>
      </c>
      <c r="L527" s="1" t="str">
        <f>RIGHT(Table1[[#This Row],[Item]],2)</f>
        <v>BR</v>
      </c>
      <c r="M527" s="1" t="s">
        <v>33</v>
      </c>
      <c r="N527" s="3" t="s">
        <v>547</v>
      </c>
      <c r="O527" s="1"/>
    </row>
    <row r="528" spans="1:15" ht="15" customHeight="1">
      <c r="A528" t="s">
        <v>548</v>
      </c>
      <c r="B528" s="1" t="str">
        <f>LEFT(Table1[[#This Row],[Item]], FIND("-", Table1[[#This Row],[Item]]) - 1)</f>
        <v>GX10</v>
      </c>
      <c r="C528" s="1" t="str">
        <f>MID(LEFT(Table1[[#This Row],[Item]], FIND("{token}", SUBSTITUTE(Table1[[#This Row],[Item]], "-", "{token}", 2)) - 1), FIND("-", Table1[[#This Row],[Item]]) + 1, LEN(Table1[[#This Row],[Item]]))</f>
        <v>R</v>
      </c>
      <c r="D52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2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28" s="1" cm="1">
        <f t="array" ref="F528">VALUE(INDEX(_xlfn.TEXTSPLIT(Table1[[#This Row],[Item]], "-"), 5))</f>
        <v>1</v>
      </c>
      <c r="G528" s="1" cm="1">
        <f t="array" ref="G528">VALUE(INDEX(_xlfn.TEXTSPLIT(Table1[[#This Row],[Item]], "-"), 6))</f>
        <v>2</v>
      </c>
      <c r="H528" s="1" cm="1">
        <f t="array" ref="H528">VALUE(INDEX(_xlfn.TEXTSPLIT(Table1[[#This Row],[Item]], "-"), 7))</f>
        <v>0</v>
      </c>
      <c r="I52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28" s="1" t="str">
        <f>LEFT(RIGHT(Table1[[#This Row],[Item]],6),1)</f>
        <v>N</v>
      </c>
      <c r="K528" s="1" t="str">
        <f t="shared" si="9"/>
        <v>N</v>
      </c>
      <c r="L528" s="1" t="str">
        <f>RIGHT(Table1[[#This Row],[Item]],2)</f>
        <v>BR</v>
      </c>
      <c r="M528" s="1" t="s">
        <v>33</v>
      </c>
      <c r="N528" s="3" t="s">
        <v>548</v>
      </c>
      <c r="O528" s="1"/>
    </row>
    <row r="529" spans="1:15" ht="15" customHeight="1">
      <c r="A529" t="s">
        <v>549</v>
      </c>
      <c r="B529" s="1" t="str">
        <f>LEFT(Table1[[#This Row],[Item]], FIND("-", Table1[[#This Row],[Item]]) - 1)</f>
        <v>GX10</v>
      </c>
      <c r="C529" s="1" t="str">
        <f>MID(LEFT(Table1[[#This Row],[Item]], FIND("{token}", SUBSTITUTE(Table1[[#This Row],[Item]], "-", "{token}", 2)) - 1), FIND("-", Table1[[#This Row],[Item]]) + 1, LEN(Table1[[#This Row],[Item]]))</f>
        <v>CXL</v>
      </c>
      <c r="D52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52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29" s="1" cm="1">
        <f t="array" ref="F529">VALUE(INDEX(_xlfn.TEXTSPLIT(Table1[[#This Row],[Item]], "-"), 5))</f>
        <v>1</v>
      </c>
      <c r="G529" s="1" cm="1">
        <f t="array" ref="G529">VALUE(INDEX(_xlfn.TEXTSPLIT(Table1[[#This Row],[Item]], "-"), 6))</f>
        <v>1</v>
      </c>
      <c r="H529" s="1" cm="1">
        <f t="array" ref="H529">VALUE(INDEX(_xlfn.TEXTSPLIT(Table1[[#This Row],[Item]], "-"), 7))</f>
        <v>1</v>
      </c>
      <c r="I52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29" s="1" t="str">
        <f>LEFT(RIGHT(Table1[[#This Row],[Item]],6),1)</f>
        <v>N</v>
      </c>
      <c r="K529" s="1" t="str">
        <f t="shared" si="9"/>
        <v>N</v>
      </c>
      <c r="L529" s="1" t="str">
        <f>RIGHT(Table1[[#This Row],[Item]],2)</f>
        <v>BR</v>
      </c>
      <c r="M529" s="1" t="s">
        <v>33</v>
      </c>
      <c r="N529" s="3" t="s">
        <v>549</v>
      </c>
      <c r="O529" s="1"/>
    </row>
    <row r="530" spans="1:15" ht="15" customHeight="1">
      <c r="A530" t="s">
        <v>550</v>
      </c>
      <c r="B530" s="1" t="str">
        <f>LEFT(Table1[[#This Row],[Item]], FIND("-", Table1[[#This Row],[Item]]) - 1)</f>
        <v>GX08</v>
      </c>
      <c r="C530" s="1" t="str">
        <f>MID(LEFT(Table1[[#This Row],[Item]], FIND("{token}", SUBSTITUTE(Table1[[#This Row],[Item]], "-", "{token}", 2)) - 1), FIND("-", Table1[[#This Row],[Item]]) + 1, LEN(Table1[[#This Row],[Item]]))</f>
        <v>L</v>
      </c>
      <c r="D53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3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30" s="1" cm="1">
        <f t="array" ref="F530">VALUE(INDEX(_xlfn.TEXTSPLIT(Table1[[#This Row],[Item]], "-"), 5))</f>
        <v>0</v>
      </c>
      <c r="G530" s="1" cm="1">
        <f t="array" ref="G530">VALUE(INDEX(_xlfn.TEXTSPLIT(Table1[[#This Row],[Item]], "-"), 6))</f>
        <v>0</v>
      </c>
      <c r="H530" s="1" cm="1">
        <f t="array" ref="H530">VALUE(INDEX(_xlfn.TEXTSPLIT(Table1[[#This Row],[Item]], "-"), 7))</f>
        <v>0</v>
      </c>
      <c r="I53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30" s="1" t="str">
        <f>LEFT(RIGHT(Table1[[#This Row],[Item]],6),1)</f>
        <v>N</v>
      </c>
      <c r="K530" s="1" t="str">
        <f t="shared" si="9"/>
        <v>N</v>
      </c>
      <c r="L530" s="1" t="str">
        <f>RIGHT(Table1[[#This Row],[Item]],2)</f>
        <v>BR</v>
      </c>
      <c r="M530" s="1" t="s">
        <v>33</v>
      </c>
      <c r="N530" s="3" t="s">
        <v>550</v>
      </c>
      <c r="O530" s="1"/>
    </row>
    <row r="531" spans="1:15" ht="15" customHeight="1">
      <c r="A531" t="s">
        <v>551</v>
      </c>
      <c r="B531" s="1" t="str">
        <f>LEFT(Table1[[#This Row],[Item]], FIND("-", Table1[[#This Row],[Item]]) - 1)</f>
        <v>GX12</v>
      </c>
      <c r="C531" s="1" t="str">
        <f>MID(LEFT(Table1[[#This Row],[Item]], FIND("{token}", SUBSTITUTE(Table1[[#This Row],[Item]], "-", "{token}", 2)) - 1), FIND("-", Table1[[#This Row],[Item]]) + 1, LEN(Table1[[#This Row],[Item]]))</f>
        <v>D</v>
      </c>
      <c r="D53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3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31" s="1" cm="1">
        <f t="array" ref="F531">VALUE(INDEX(_xlfn.TEXTSPLIT(Table1[[#This Row],[Item]], "-"), 5))</f>
        <v>0</v>
      </c>
      <c r="G531" s="1" cm="1">
        <f t="array" ref="G531">VALUE(INDEX(_xlfn.TEXTSPLIT(Table1[[#This Row],[Item]], "-"), 6))</f>
        <v>2</v>
      </c>
      <c r="H531" s="1" cm="1">
        <f t="array" ref="H531">VALUE(INDEX(_xlfn.TEXTSPLIT(Table1[[#This Row],[Item]], "-"), 7))</f>
        <v>1</v>
      </c>
      <c r="I53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31" s="1" t="str">
        <f>LEFT(RIGHT(Table1[[#This Row],[Item]],6),1)</f>
        <v>N</v>
      </c>
      <c r="K531" s="1" t="str">
        <f t="shared" si="9"/>
        <v>N</v>
      </c>
      <c r="L531" s="1" t="str">
        <f>RIGHT(Table1[[#This Row],[Item]],2)</f>
        <v>BR</v>
      </c>
      <c r="M531" s="1" t="s">
        <v>33</v>
      </c>
      <c r="N531" s="3" t="s">
        <v>551</v>
      </c>
      <c r="O531" s="1"/>
    </row>
    <row r="532" spans="1:15" ht="15" customHeight="1">
      <c r="A532" t="s">
        <v>552</v>
      </c>
      <c r="B532" s="1" t="str">
        <f>LEFT(Table1[[#This Row],[Item]], FIND("-", Table1[[#This Row],[Item]]) - 1)</f>
        <v>GX12</v>
      </c>
      <c r="C532" s="1" t="str">
        <f>MID(LEFT(Table1[[#This Row],[Item]], FIND("{token}", SUBSTITUTE(Table1[[#This Row],[Item]], "-", "{token}", 2)) - 1), FIND("-", Table1[[#This Row],[Item]]) + 1, LEN(Table1[[#This Row],[Item]]))</f>
        <v>CXL</v>
      </c>
      <c r="D53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3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32" s="1" cm="1">
        <f t="array" ref="F532">VALUE(INDEX(_xlfn.TEXTSPLIT(Table1[[#This Row],[Item]], "-"), 5))</f>
        <v>1</v>
      </c>
      <c r="G532" s="1" cm="1">
        <f t="array" ref="G532">VALUE(INDEX(_xlfn.TEXTSPLIT(Table1[[#This Row],[Item]], "-"), 6))</f>
        <v>2</v>
      </c>
      <c r="H532" s="1" cm="1">
        <f t="array" ref="H532">VALUE(INDEX(_xlfn.TEXTSPLIT(Table1[[#This Row],[Item]], "-"), 7))</f>
        <v>0</v>
      </c>
      <c r="I53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32" s="1" t="str">
        <f>LEFT(RIGHT(Table1[[#This Row],[Item]],6),1)</f>
        <v>N</v>
      </c>
      <c r="K532" s="1" t="str">
        <f t="shared" si="9"/>
        <v>N</v>
      </c>
      <c r="L532" s="1" t="str">
        <f>RIGHT(Table1[[#This Row],[Item]],2)</f>
        <v>BR</v>
      </c>
      <c r="M532" s="1" t="s">
        <v>33</v>
      </c>
      <c r="N532" s="3" t="s">
        <v>552</v>
      </c>
      <c r="O532" s="1"/>
    </row>
    <row r="533" spans="1:15" ht="15" customHeight="1">
      <c r="A533" t="s">
        <v>553</v>
      </c>
      <c r="B533" s="1" t="str">
        <f>LEFT(Table1[[#This Row],[Item]], FIND("-", Table1[[#This Row],[Item]]) - 1)</f>
        <v>GX14</v>
      </c>
      <c r="C533" s="1" t="str">
        <f>MID(LEFT(Table1[[#This Row],[Item]], FIND("{token}", SUBSTITUTE(Table1[[#This Row],[Item]], "-", "{token}", 2)) - 1), FIND("-", Table1[[#This Row],[Item]]) + 1, LEN(Table1[[#This Row],[Item]]))</f>
        <v>D</v>
      </c>
      <c r="D53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53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33" s="1" cm="1">
        <f t="array" ref="F533">VALUE(INDEX(_xlfn.TEXTSPLIT(Table1[[#This Row],[Item]], "-"), 5))</f>
        <v>2</v>
      </c>
      <c r="G533" s="1" cm="1">
        <f t="array" ref="G533">VALUE(INDEX(_xlfn.TEXTSPLIT(Table1[[#This Row],[Item]], "-"), 6))</f>
        <v>1</v>
      </c>
      <c r="H533" s="1" cm="1">
        <f t="array" ref="H533">VALUE(INDEX(_xlfn.TEXTSPLIT(Table1[[#This Row],[Item]], "-"), 7))</f>
        <v>1</v>
      </c>
      <c r="I53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33" s="1" t="str">
        <f>LEFT(RIGHT(Table1[[#This Row],[Item]],6),1)</f>
        <v>N</v>
      </c>
      <c r="K533" s="1" t="str">
        <f t="shared" si="9"/>
        <v>N</v>
      </c>
      <c r="L533" s="1" t="str">
        <f>RIGHT(Table1[[#This Row],[Item]],2)</f>
        <v>BR</v>
      </c>
      <c r="M533" s="1" t="s">
        <v>33</v>
      </c>
      <c r="N533" s="3" t="s">
        <v>553</v>
      </c>
      <c r="O533" s="1"/>
    </row>
    <row r="534" spans="1:15" ht="15" customHeight="1">
      <c r="A534" t="s">
        <v>554</v>
      </c>
      <c r="B534" s="1" t="str">
        <f>LEFT(Table1[[#This Row],[Item]], FIND("-", Table1[[#This Row],[Item]]) - 1)</f>
        <v>GX10</v>
      </c>
      <c r="C534" s="1" t="str">
        <f>MID(LEFT(Table1[[#This Row],[Item]], FIND("{token}", SUBSTITUTE(Table1[[#This Row],[Item]], "-", "{token}", 2)) - 1), FIND("-", Table1[[#This Row],[Item]]) + 1, LEN(Table1[[#This Row],[Item]]))</f>
        <v>CXL</v>
      </c>
      <c r="D534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53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34" s="1" cm="1">
        <f t="array" ref="F534">VALUE(INDEX(_xlfn.TEXTSPLIT(Table1[[#This Row],[Item]], "-"), 5))</f>
        <v>1</v>
      </c>
      <c r="G534" s="1" cm="1">
        <f t="array" ref="G534">VALUE(INDEX(_xlfn.TEXTSPLIT(Table1[[#This Row],[Item]], "-"), 6))</f>
        <v>1</v>
      </c>
      <c r="H534" s="1" cm="1">
        <f t="array" ref="H534">VALUE(INDEX(_xlfn.TEXTSPLIT(Table1[[#This Row],[Item]], "-"), 7))</f>
        <v>1</v>
      </c>
      <c r="I53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34" s="1" t="str">
        <f>LEFT(RIGHT(Table1[[#This Row],[Item]],6),1)</f>
        <v>N</v>
      </c>
      <c r="K534" s="1" t="str">
        <f t="shared" si="9"/>
        <v>N</v>
      </c>
      <c r="L534" s="1" t="str">
        <f>RIGHT(Table1[[#This Row],[Item]],2)</f>
        <v>BR</v>
      </c>
      <c r="M534" s="1" t="s">
        <v>33</v>
      </c>
      <c r="N534" s="3" t="s">
        <v>554</v>
      </c>
      <c r="O534" s="1"/>
    </row>
    <row r="535" spans="1:15" ht="15" customHeight="1">
      <c r="A535" t="s">
        <v>555</v>
      </c>
      <c r="B535" s="1" t="str">
        <f>LEFT(Table1[[#This Row],[Item]], FIND("-", Table1[[#This Row],[Item]]) - 1)</f>
        <v>ARB8</v>
      </c>
      <c r="C535" s="1" t="str">
        <f>MID(LEFT(Table1[[#This Row],[Item]], FIND("{token}", SUBSTITUTE(Table1[[#This Row],[Item]], "-", "{token}", 2)) - 1), FIND("-", Table1[[#This Row],[Item]]) + 1, LEN(Table1[[#This Row],[Item]]))</f>
        <v>L</v>
      </c>
      <c r="D53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3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35" s="1" cm="1">
        <f t="array" ref="F535">VALUE(INDEX(_xlfn.TEXTSPLIT(Table1[[#This Row],[Item]], "-"), 5))</f>
        <v>1</v>
      </c>
      <c r="G535" s="1" cm="1">
        <f t="array" ref="G535">VALUE(INDEX(_xlfn.TEXTSPLIT(Table1[[#This Row],[Item]], "-"), 6))</f>
        <v>0</v>
      </c>
      <c r="H535" s="1" cm="1">
        <f t="array" ref="H535">VALUE(INDEX(_xlfn.TEXTSPLIT(Table1[[#This Row],[Item]], "-"), 7))</f>
        <v>0</v>
      </c>
      <c r="I53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35" s="1" t="str">
        <f>LEFT(RIGHT(Table1[[#This Row],[Item]],6),1)</f>
        <v>Y</v>
      </c>
      <c r="K535" s="1" t="str">
        <f t="shared" si="9"/>
        <v>N</v>
      </c>
      <c r="L535" s="1" t="str">
        <f>RIGHT(Table1[[#This Row],[Item]],2)</f>
        <v>BR</v>
      </c>
      <c r="M535" s="1" t="s">
        <v>33</v>
      </c>
      <c r="N535" s="3" t="s">
        <v>555</v>
      </c>
      <c r="O535" s="1"/>
    </row>
    <row r="536" spans="1:15" ht="15" customHeight="1">
      <c r="A536" t="s">
        <v>556</v>
      </c>
      <c r="B536" s="1" t="str">
        <f>LEFT(Table1[[#This Row],[Item]], FIND("-", Table1[[#This Row],[Item]]) - 1)</f>
        <v>GX09</v>
      </c>
      <c r="C536" s="1" t="str">
        <f>MID(LEFT(Table1[[#This Row],[Item]], FIND("{token}", SUBSTITUTE(Table1[[#This Row],[Item]], "-", "{token}", 2)) - 1), FIND("-", Table1[[#This Row],[Item]]) + 1, LEN(Table1[[#This Row],[Item]]))</f>
        <v>RXL</v>
      </c>
      <c r="D536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53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36" s="1" cm="1">
        <f t="array" ref="F536">VALUE(INDEX(_xlfn.TEXTSPLIT(Table1[[#This Row],[Item]], "-"), 5))</f>
        <v>1</v>
      </c>
      <c r="G536" s="1" cm="1">
        <f t="array" ref="G536">VALUE(INDEX(_xlfn.TEXTSPLIT(Table1[[#This Row],[Item]], "-"), 6))</f>
        <v>1</v>
      </c>
      <c r="H536" s="1" cm="1">
        <f t="array" ref="H536">VALUE(INDEX(_xlfn.TEXTSPLIT(Table1[[#This Row],[Item]], "-"), 7))</f>
        <v>0</v>
      </c>
      <c r="I53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36" s="1" t="str">
        <f>LEFT(RIGHT(Table1[[#This Row],[Item]],6),1)</f>
        <v>N</v>
      </c>
      <c r="K536" s="1" t="str">
        <f t="shared" si="9"/>
        <v>N</v>
      </c>
      <c r="L536" s="1" t="str">
        <f>RIGHT(Table1[[#This Row],[Item]],2)</f>
        <v>BR</v>
      </c>
      <c r="M536" s="1" t="s">
        <v>33</v>
      </c>
      <c r="N536" s="3" t="s">
        <v>556</v>
      </c>
      <c r="O536" s="1"/>
    </row>
    <row r="537" spans="1:15" ht="15" customHeight="1">
      <c r="A537" t="s">
        <v>557</v>
      </c>
      <c r="B537" s="1" t="str">
        <f>LEFT(Table1[[#This Row],[Item]], FIND("-", Table1[[#This Row],[Item]]) - 1)</f>
        <v>GX12</v>
      </c>
      <c r="C537" s="1" t="str">
        <f>MID(LEFT(Table1[[#This Row],[Item]], FIND("{token}", SUBSTITUTE(Table1[[#This Row],[Item]], "-", "{token}", 2)) - 1), FIND("-", Table1[[#This Row],[Item]]) + 1, LEN(Table1[[#This Row],[Item]]))</f>
        <v>CXL</v>
      </c>
      <c r="D537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53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37" s="1" cm="1">
        <f t="array" ref="F537">VALUE(INDEX(_xlfn.TEXTSPLIT(Table1[[#This Row],[Item]], "-"), 5))</f>
        <v>2</v>
      </c>
      <c r="G537" s="1" cm="1">
        <f t="array" ref="G537">VALUE(INDEX(_xlfn.TEXTSPLIT(Table1[[#This Row],[Item]], "-"), 6))</f>
        <v>2</v>
      </c>
      <c r="H537" s="1" cm="1">
        <f t="array" ref="H537">VALUE(INDEX(_xlfn.TEXTSPLIT(Table1[[#This Row],[Item]], "-"), 7))</f>
        <v>1</v>
      </c>
      <c r="I53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37" s="1" t="str">
        <f>LEFT(RIGHT(Table1[[#This Row],[Item]],6),1)</f>
        <v>N</v>
      </c>
      <c r="K537" s="1" t="str">
        <f t="shared" si="9"/>
        <v>N</v>
      </c>
      <c r="L537" s="1" t="str">
        <f>RIGHT(Table1[[#This Row],[Item]],2)</f>
        <v>BR</v>
      </c>
      <c r="M537" s="1" t="s">
        <v>33</v>
      </c>
      <c r="N537" s="3" t="s">
        <v>557</v>
      </c>
      <c r="O537" s="1"/>
    </row>
    <row r="538" spans="1:15" ht="15" customHeight="1">
      <c r="A538" t="s">
        <v>558</v>
      </c>
      <c r="B538" s="1" t="str">
        <f>LEFT(Table1[[#This Row],[Item]], FIND("-", Table1[[#This Row],[Item]]) - 1)</f>
        <v>ARB6</v>
      </c>
      <c r="C538" s="1" t="str">
        <f>MID(LEFT(Table1[[#This Row],[Item]], FIND("{token}", SUBSTITUTE(Table1[[#This Row],[Item]], "-", "{token}", 2)) - 1), FIND("-", Table1[[#This Row],[Item]]) + 1, LEN(Table1[[#This Row],[Item]]))</f>
        <v>L</v>
      </c>
      <c r="D53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3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38" s="1" cm="1">
        <f t="array" ref="F538">VALUE(INDEX(_xlfn.TEXTSPLIT(Table1[[#This Row],[Item]], "-"), 5))</f>
        <v>1</v>
      </c>
      <c r="G538" s="1" cm="1">
        <f t="array" ref="G538">VALUE(INDEX(_xlfn.TEXTSPLIT(Table1[[#This Row],[Item]], "-"), 6))</f>
        <v>0</v>
      </c>
      <c r="H538" s="1" cm="1">
        <f t="array" ref="H538">VALUE(INDEX(_xlfn.TEXTSPLIT(Table1[[#This Row],[Item]], "-"), 7))</f>
        <v>0</v>
      </c>
      <c r="I538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38" s="1" t="str">
        <f>LEFT(RIGHT(Table1[[#This Row],[Item]],6),1)</f>
        <v>Y</v>
      </c>
      <c r="K538" s="1" t="str">
        <f t="shared" si="9"/>
        <v>N</v>
      </c>
      <c r="L538" s="1" t="str">
        <f>RIGHT(Table1[[#This Row],[Item]],2)</f>
        <v>BR</v>
      </c>
      <c r="M538" s="1" t="s">
        <v>33</v>
      </c>
      <c r="N538" s="3" t="s">
        <v>356</v>
      </c>
      <c r="O538" s="1"/>
    </row>
    <row r="539" spans="1:15" ht="15" customHeight="1">
      <c r="A539" t="s">
        <v>559</v>
      </c>
      <c r="B539" s="1" t="str">
        <f>LEFT(Table1[[#This Row],[Item]], FIND("-", Table1[[#This Row],[Item]]) - 1)</f>
        <v>ARB6</v>
      </c>
      <c r="C539" s="1" t="str">
        <f>MID(LEFT(Table1[[#This Row],[Item]], FIND("{token}", SUBSTITUTE(Table1[[#This Row],[Item]], "-", "{token}", 2)) - 1), FIND("-", Table1[[#This Row],[Item]]) + 1, LEN(Table1[[#This Row],[Item]]))</f>
        <v>L</v>
      </c>
      <c r="D53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3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39" s="1" cm="1">
        <f t="array" ref="F539">VALUE(INDEX(_xlfn.TEXTSPLIT(Table1[[#This Row],[Item]], "-"), 5))</f>
        <v>1</v>
      </c>
      <c r="G539" s="1" cm="1">
        <f t="array" ref="G539">VALUE(INDEX(_xlfn.TEXTSPLIT(Table1[[#This Row],[Item]], "-"), 6))</f>
        <v>0</v>
      </c>
      <c r="H539" s="1" cm="1">
        <f t="array" ref="H539">VALUE(INDEX(_xlfn.TEXTSPLIT(Table1[[#This Row],[Item]], "-"), 7))</f>
        <v>0</v>
      </c>
      <c r="I539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39" s="1" t="str">
        <f>LEFT(RIGHT(Table1[[#This Row],[Item]],6),1)</f>
        <v>Y</v>
      </c>
      <c r="K539" s="1" t="str">
        <f t="shared" si="9"/>
        <v>Y</v>
      </c>
      <c r="L539" s="1" t="str">
        <f>RIGHT(Table1[[#This Row],[Item]],2)</f>
        <v>BR</v>
      </c>
      <c r="M539" s="1" t="s">
        <v>33</v>
      </c>
      <c r="N539" s="3" t="s">
        <v>357</v>
      </c>
      <c r="O539" s="1"/>
    </row>
    <row r="540" spans="1:15" ht="15" customHeight="1">
      <c r="A540" t="s">
        <v>560</v>
      </c>
      <c r="B540" s="1" t="str">
        <f>LEFT(Table1[[#This Row],[Item]], FIND("-", Table1[[#This Row],[Item]]) - 1)</f>
        <v>ARB8</v>
      </c>
      <c r="C540" s="1" t="str">
        <f>MID(LEFT(Table1[[#This Row],[Item]], FIND("{token}", SUBSTITUTE(Table1[[#This Row],[Item]], "-", "{token}", 2)) - 1), FIND("-", Table1[[#This Row],[Item]]) + 1, LEN(Table1[[#This Row],[Item]]))</f>
        <v>L</v>
      </c>
      <c r="D540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54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40" s="1" cm="1">
        <f t="array" ref="F540">VALUE(INDEX(_xlfn.TEXTSPLIT(Table1[[#This Row],[Item]], "-"), 5))</f>
        <v>1</v>
      </c>
      <c r="G540" s="1" cm="1">
        <f t="array" ref="G540">VALUE(INDEX(_xlfn.TEXTSPLIT(Table1[[#This Row],[Item]], "-"), 6))</f>
        <v>0</v>
      </c>
      <c r="H540" s="1" cm="1">
        <f t="array" ref="H540">VALUE(INDEX(_xlfn.TEXTSPLIT(Table1[[#This Row],[Item]], "-"), 7))</f>
        <v>0</v>
      </c>
      <c r="I540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40" s="1" t="str">
        <f>LEFT(RIGHT(Table1[[#This Row],[Item]],6),1)</f>
        <v>Y</v>
      </c>
      <c r="K540" s="1" t="str">
        <f t="shared" si="9"/>
        <v>N</v>
      </c>
      <c r="L540" s="1" t="str">
        <f>RIGHT(Table1[[#This Row],[Item]],2)</f>
        <v>BR</v>
      </c>
      <c r="M540" s="1" t="s">
        <v>33</v>
      </c>
      <c r="N540" s="3" t="s">
        <v>359</v>
      </c>
      <c r="O540" s="1"/>
    </row>
    <row r="541" spans="1:15" ht="15" customHeight="1">
      <c r="A541" t="s">
        <v>561</v>
      </c>
      <c r="B541" s="1" t="str">
        <f>LEFT(Table1[[#This Row],[Item]], FIND("-", Table1[[#This Row],[Item]]) - 1)</f>
        <v>ARB8</v>
      </c>
      <c r="C541" s="1" t="str">
        <f>MID(LEFT(Table1[[#This Row],[Item]], FIND("{token}", SUBSTITUTE(Table1[[#This Row],[Item]], "-", "{token}", 2)) - 1), FIND("-", Table1[[#This Row],[Item]]) + 1, LEN(Table1[[#This Row],[Item]]))</f>
        <v>L</v>
      </c>
      <c r="D541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54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41" s="1" cm="1">
        <f t="array" ref="F541">VALUE(INDEX(_xlfn.TEXTSPLIT(Table1[[#This Row],[Item]], "-"), 5))</f>
        <v>1</v>
      </c>
      <c r="G541" s="1" cm="1">
        <f t="array" ref="G541">VALUE(INDEX(_xlfn.TEXTSPLIT(Table1[[#This Row],[Item]], "-"), 6))</f>
        <v>0</v>
      </c>
      <c r="H541" s="1" cm="1">
        <f t="array" ref="H541">VALUE(INDEX(_xlfn.TEXTSPLIT(Table1[[#This Row],[Item]], "-"), 7))</f>
        <v>0</v>
      </c>
      <c r="I541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41" s="1" t="str">
        <f>LEFT(RIGHT(Table1[[#This Row],[Item]],6),1)</f>
        <v>Y</v>
      </c>
      <c r="K541" s="1" t="str">
        <f t="shared" si="9"/>
        <v>Y</v>
      </c>
      <c r="L541" s="1" t="str">
        <f>RIGHT(Table1[[#This Row],[Item]],2)</f>
        <v>BR</v>
      </c>
      <c r="M541" s="1" t="s">
        <v>33</v>
      </c>
      <c r="N541" s="3" t="s">
        <v>361</v>
      </c>
      <c r="O541" s="1"/>
    </row>
    <row r="542" spans="1:15" ht="15" customHeight="1">
      <c r="A542" t="s">
        <v>562</v>
      </c>
      <c r="B542" s="1" t="str">
        <f>LEFT(Table1[[#This Row],[Item]], FIND("-", Table1[[#This Row],[Item]]) - 1)</f>
        <v>ARB8</v>
      </c>
      <c r="C542" s="1" t="str">
        <f>MID(LEFT(Table1[[#This Row],[Item]], FIND("{token}", SUBSTITUTE(Table1[[#This Row],[Item]], "-", "{token}", 2)) - 1), FIND("-", Table1[[#This Row],[Item]]) + 1, LEN(Table1[[#This Row],[Item]]))</f>
        <v>L</v>
      </c>
      <c r="D542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54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42" s="1" cm="1">
        <f t="array" ref="F542">VALUE(INDEX(_xlfn.TEXTSPLIT(Table1[[#This Row],[Item]], "-"), 5))</f>
        <v>1</v>
      </c>
      <c r="G542" s="1" cm="1">
        <f t="array" ref="G542">VALUE(INDEX(_xlfn.TEXTSPLIT(Table1[[#This Row],[Item]], "-"), 6))</f>
        <v>1</v>
      </c>
      <c r="H542" s="1" cm="1">
        <f t="array" ref="H542">VALUE(INDEX(_xlfn.TEXTSPLIT(Table1[[#This Row],[Item]], "-"), 7))</f>
        <v>0</v>
      </c>
      <c r="I542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42" s="1" t="str">
        <f>LEFT(RIGHT(Table1[[#This Row],[Item]],6),1)</f>
        <v>Y</v>
      </c>
      <c r="K542" s="1" t="str">
        <f t="shared" si="9"/>
        <v>N</v>
      </c>
      <c r="L542" s="1" t="str">
        <f>RIGHT(Table1[[#This Row],[Item]],2)</f>
        <v>BR</v>
      </c>
      <c r="M542" s="1" t="s">
        <v>33</v>
      </c>
      <c r="N542" s="3" t="s">
        <v>363</v>
      </c>
      <c r="O542" s="1"/>
    </row>
    <row r="543" spans="1:15" ht="15" customHeight="1">
      <c r="A543" t="s">
        <v>563</v>
      </c>
      <c r="B543" s="1" t="str">
        <f>LEFT(Table1[[#This Row],[Item]], FIND("-", Table1[[#This Row],[Item]]) - 1)</f>
        <v>ARB8</v>
      </c>
      <c r="C543" s="1" t="str">
        <f>MID(LEFT(Table1[[#This Row],[Item]], FIND("{token}", SUBSTITUTE(Table1[[#This Row],[Item]], "-", "{token}", 2)) - 1), FIND("-", Table1[[#This Row],[Item]]) + 1, LEN(Table1[[#This Row],[Item]]))</f>
        <v>L</v>
      </c>
      <c r="D543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54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43" s="1" cm="1">
        <f t="array" ref="F543">VALUE(INDEX(_xlfn.TEXTSPLIT(Table1[[#This Row],[Item]], "-"), 5))</f>
        <v>1</v>
      </c>
      <c r="G543" s="1" cm="1">
        <f t="array" ref="G543">VALUE(INDEX(_xlfn.TEXTSPLIT(Table1[[#This Row],[Item]], "-"), 6))</f>
        <v>1</v>
      </c>
      <c r="H543" s="1" cm="1">
        <f t="array" ref="H543">VALUE(INDEX(_xlfn.TEXTSPLIT(Table1[[#This Row],[Item]], "-"), 7))</f>
        <v>0</v>
      </c>
      <c r="I543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43" s="1" t="str">
        <f>LEFT(RIGHT(Table1[[#This Row],[Item]],6),1)</f>
        <v>Y</v>
      </c>
      <c r="K543" s="1" t="str">
        <f t="shared" si="9"/>
        <v>Y</v>
      </c>
      <c r="L543" s="1" t="str">
        <f>RIGHT(Table1[[#This Row],[Item]],2)</f>
        <v>BR</v>
      </c>
      <c r="M543" s="1" t="s">
        <v>33</v>
      </c>
      <c r="N543" s="3" t="s">
        <v>364</v>
      </c>
      <c r="O543" s="1"/>
    </row>
    <row r="544" spans="1:15" ht="15" customHeight="1">
      <c r="A544" t="s">
        <v>564</v>
      </c>
      <c r="B544" s="1" t="str">
        <f>LEFT(Table1[[#This Row],[Item]], FIND("-", Table1[[#This Row],[Item]]) - 1)</f>
        <v>ARB8</v>
      </c>
      <c r="C544" s="1" t="str">
        <f>MID(LEFT(Table1[[#This Row],[Item]], FIND("{token}", SUBSTITUTE(Table1[[#This Row],[Item]], "-", "{token}", 2)) - 1), FIND("-", Table1[[#This Row],[Item]]) + 1, LEN(Table1[[#This Row],[Item]]))</f>
        <v>L</v>
      </c>
      <c r="D54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4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44" s="1" cm="1">
        <f t="array" ref="F544">VALUE(INDEX(_xlfn.TEXTSPLIT(Table1[[#This Row],[Item]], "-"), 5))</f>
        <v>1</v>
      </c>
      <c r="G544" s="1" cm="1">
        <f t="array" ref="G544">VALUE(INDEX(_xlfn.TEXTSPLIT(Table1[[#This Row],[Item]], "-"), 6))</f>
        <v>0</v>
      </c>
      <c r="H544" s="1" cm="1">
        <f t="array" ref="H544">VALUE(INDEX(_xlfn.TEXTSPLIT(Table1[[#This Row],[Item]], "-"), 7))</f>
        <v>0</v>
      </c>
      <c r="I544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44" s="1" t="str">
        <f>LEFT(RIGHT(Table1[[#This Row],[Item]],6),1)</f>
        <v>N</v>
      </c>
      <c r="K544" s="1" t="str">
        <f t="shared" si="9"/>
        <v>Y</v>
      </c>
      <c r="L544" s="1" t="str">
        <f>RIGHT(Table1[[#This Row],[Item]],2)</f>
        <v>BR</v>
      </c>
      <c r="M544" s="1" t="s">
        <v>33</v>
      </c>
      <c r="N544" s="3" t="s">
        <v>365</v>
      </c>
      <c r="O544" s="1"/>
    </row>
    <row r="545" spans="1:15" ht="15" customHeight="1">
      <c r="A545" t="s">
        <v>565</v>
      </c>
      <c r="B545" s="1" t="str">
        <f>LEFT(Table1[[#This Row],[Item]], FIND("-", Table1[[#This Row],[Item]]) - 1)</f>
        <v>ARB8</v>
      </c>
      <c r="C545" s="1" t="str">
        <f>MID(LEFT(Table1[[#This Row],[Item]], FIND("{token}", SUBSTITUTE(Table1[[#This Row],[Item]], "-", "{token}", 2)) - 1), FIND("-", Table1[[#This Row],[Item]]) + 1, LEN(Table1[[#This Row],[Item]]))</f>
        <v>L</v>
      </c>
      <c r="D54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4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45" s="1" cm="1">
        <f t="array" ref="F545">VALUE(INDEX(_xlfn.TEXTSPLIT(Table1[[#This Row],[Item]], "-"), 5))</f>
        <v>1</v>
      </c>
      <c r="G545" s="1" cm="1">
        <f t="array" ref="G545">VALUE(INDEX(_xlfn.TEXTSPLIT(Table1[[#This Row],[Item]], "-"), 6))</f>
        <v>0</v>
      </c>
      <c r="H545" s="1" cm="1">
        <f t="array" ref="H545">VALUE(INDEX(_xlfn.TEXTSPLIT(Table1[[#This Row],[Item]], "-"), 7))</f>
        <v>0</v>
      </c>
      <c r="I545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45" s="1" t="str">
        <f>LEFT(RIGHT(Table1[[#This Row],[Item]],6),1)</f>
        <v>Y</v>
      </c>
      <c r="K545" s="1" t="str">
        <f t="shared" si="9"/>
        <v>N</v>
      </c>
      <c r="L545" s="1" t="str">
        <f>RIGHT(Table1[[#This Row],[Item]],2)</f>
        <v>BR</v>
      </c>
      <c r="M545" s="1" t="s">
        <v>33</v>
      </c>
      <c r="N545" s="3" t="s">
        <v>360</v>
      </c>
      <c r="O545" s="1"/>
    </row>
    <row r="546" spans="1:15" ht="15" customHeight="1">
      <c r="A546" t="s">
        <v>566</v>
      </c>
      <c r="B546" s="1" t="str">
        <f>LEFT(Table1[[#This Row],[Item]], FIND("-", Table1[[#This Row],[Item]]) - 1)</f>
        <v>ARB8</v>
      </c>
      <c r="C546" s="1" t="str">
        <f>MID(LEFT(Table1[[#This Row],[Item]], FIND("{token}", SUBSTITUTE(Table1[[#This Row],[Item]], "-", "{token}", 2)) - 1), FIND("-", Table1[[#This Row],[Item]]) + 1, LEN(Table1[[#This Row],[Item]]))</f>
        <v>L</v>
      </c>
      <c r="D54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4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46" s="1" cm="1">
        <f t="array" ref="F546">VALUE(INDEX(_xlfn.TEXTSPLIT(Table1[[#This Row],[Item]], "-"), 5))</f>
        <v>1</v>
      </c>
      <c r="G546" s="1" cm="1">
        <f t="array" ref="G546">VALUE(INDEX(_xlfn.TEXTSPLIT(Table1[[#This Row],[Item]], "-"), 6))</f>
        <v>0</v>
      </c>
      <c r="H546" s="1" cm="1">
        <f t="array" ref="H546">VALUE(INDEX(_xlfn.TEXTSPLIT(Table1[[#This Row],[Item]], "-"), 7))</f>
        <v>0</v>
      </c>
      <c r="I546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46" s="1" t="str">
        <f>LEFT(RIGHT(Table1[[#This Row],[Item]],6),1)</f>
        <v>Y</v>
      </c>
      <c r="K546" s="1" t="str">
        <f t="shared" si="9"/>
        <v>Y</v>
      </c>
      <c r="L546" s="1" t="str">
        <f>RIGHT(Table1[[#This Row],[Item]],2)</f>
        <v>BR</v>
      </c>
      <c r="M546" s="1" t="s">
        <v>33</v>
      </c>
      <c r="N546" s="3" t="s">
        <v>362</v>
      </c>
      <c r="O546" s="1"/>
    </row>
    <row r="547" spans="1:15" ht="15" customHeight="1">
      <c r="A547" t="s">
        <v>567</v>
      </c>
      <c r="B547" s="1" t="str">
        <f>LEFT(Table1[[#This Row],[Item]], FIND("-", Table1[[#This Row],[Item]]) - 1)</f>
        <v>ARB8</v>
      </c>
      <c r="C547" s="1" t="str">
        <f>MID(LEFT(Table1[[#This Row],[Item]], FIND("{token}", SUBSTITUTE(Table1[[#This Row],[Item]], "-", "{token}", 2)) - 1), FIND("-", Table1[[#This Row],[Item]]) + 1, LEN(Table1[[#This Row],[Item]]))</f>
        <v>L</v>
      </c>
      <c r="D54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4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47" s="1" cm="1">
        <f t="array" ref="F547">VALUE(INDEX(_xlfn.TEXTSPLIT(Table1[[#This Row],[Item]], "-"), 5))</f>
        <v>1</v>
      </c>
      <c r="G547" s="1" cm="1">
        <f t="array" ref="G547">VALUE(INDEX(_xlfn.TEXTSPLIT(Table1[[#This Row],[Item]], "-"), 6))</f>
        <v>1</v>
      </c>
      <c r="H547" s="1" cm="1">
        <f t="array" ref="H547">VALUE(INDEX(_xlfn.TEXTSPLIT(Table1[[#This Row],[Item]], "-"), 7))</f>
        <v>0</v>
      </c>
      <c r="I547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47" s="1" t="str">
        <f>LEFT(RIGHT(Table1[[#This Row],[Item]],6),1)</f>
        <v>Y</v>
      </c>
      <c r="K547" s="1" t="str">
        <f t="shared" si="9"/>
        <v>N</v>
      </c>
      <c r="L547" s="1" t="str">
        <f>RIGHT(Table1[[#This Row],[Item]],2)</f>
        <v>BR</v>
      </c>
      <c r="M547" s="1" t="s">
        <v>33</v>
      </c>
      <c r="N547" s="3" t="s">
        <v>366</v>
      </c>
      <c r="O547" s="1"/>
    </row>
    <row r="548" spans="1:15" ht="15" customHeight="1">
      <c r="A548" t="s">
        <v>568</v>
      </c>
      <c r="B548" s="1" t="str">
        <f>LEFT(Table1[[#This Row],[Item]], FIND("-", Table1[[#This Row],[Item]]) - 1)</f>
        <v>ARB8</v>
      </c>
      <c r="C548" s="1" t="str">
        <f>MID(LEFT(Table1[[#This Row],[Item]], FIND("{token}", SUBSTITUTE(Table1[[#This Row],[Item]], "-", "{token}", 2)) - 1), FIND("-", Table1[[#This Row],[Item]]) + 1, LEN(Table1[[#This Row],[Item]]))</f>
        <v>L</v>
      </c>
      <c r="D54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4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48" s="1" cm="1">
        <f t="array" ref="F548">VALUE(INDEX(_xlfn.TEXTSPLIT(Table1[[#This Row],[Item]], "-"), 5))</f>
        <v>1</v>
      </c>
      <c r="G548" s="1" cm="1">
        <f t="array" ref="G548">VALUE(INDEX(_xlfn.TEXTSPLIT(Table1[[#This Row],[Item]], "-"), 6))</f>
        <v>1</v>
      </c>
      <c r="H548" s="1" cm="1">
        <f t="array" ref="H548">VALUE(INDEX(_xlfn.TEXTSPLIT(Table1[[#This Row],[Item]], "-"), 7))</f>
        <v>0</v>
      </c>
      <c r="I548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48" s="1" t="str">
        <f>LEFT(RIGHT(Table1[[#This Row],[Item]],6),1)</f>
        <v>Y</v>
      </c>
      <c r="K548" s="1" t="str">
        <f t="shared" si="9"/>
        <v>Y</v>
      </c>
      <c r="L548" s="1" t="str">
        <f>RIGHT(Table1[[#This Row],[Item]],2)</f>
        <v>BR</v>
      </c>
      <c r="M548" s="1" t="s">
        <v>33</v>
      </c>
      <c r="N548" s="3" t="s">
        <v>367</v>
      </c>
      <c r="O548" s="1"/>
    </row>
    <row r="549" spans="1:15" ht="15" customHeight="1">
      <c r="A549" t="s">
        <v>569</v>
      </c>
      <c r="B549" s="1" t="str">
        <f>LEFT(Table1[[#This Row],[Item]], FIND("-", Table1[[#This Row],[Item]]) - 1)</f>
        <v>ARB8</v>
      </c>
      <c r="C549" s="1" t="str">
        <f>MID(LEFT(Table1[[#This Row],[Item]], FIND("{token}", SUBSTITUTE(Table1[[#This Row],[Item]], "-", "{token}", 2)) - 1), FIND("-", Table1[[#This Row],[Item]]) + 1, LEN(Table1[[#This Row],[Item]]))</f>
        <v>LXL</v>
      </c>
      <c r="D54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4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49" s="1" cm="1">
        <f t="array" ref="F549">VALUE(INDEX(_xlfn.TEXTSPLIT(Table1[[#This Row],[Item]], "-"), 5))</f>
        <v>1</v>
      </c>
      <c r="G549" s="1" cm="1">
        <f t="array" ref="G549">VALUE(INDEX(_xlfn.TEXTSPLIT(Table1[[#This Row],[Item]], "-"), 6))</f>
        <v>1</v>
      </c>
      <c r="H549" s="1" cm="1">
        <f t="array" ref="H549">VALUE(INDEX(_xlfn.TEXTSPLIT(Table1[[#This Row],[Item]], "-"), 7))</f>
        <v>0</v>
      </c>
      <c r="I549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49" s="1" t="str">
        <f>LEFT(RIGHT(Table1[[#This Row],[Item]],6),1)</f>
        <v>Y</v>
      </c>
      <c r="K549" s="1" t="str">
        <f t="shared" si="9"/>
        <v>N</v>
      </c>
      <c r="L549" s="1" t="str">
        <f>RIGHT(Table1[[#This Row],[Item]],2)</f>
        <v>BR</v>
      </c>
      <c r="M549" s="1" t="s">
        <v>33</v>
      </c>
      <c r="N549" s="3" t="s">
        <v>368</v>
      </c>
      <c r="O549" s="1"/>
    </row>
    <row r="550" spans="1:15" ht="15" customHeight="1">
      <c r="A550" t="s">
        <v>570</v>
      </c>
      <c r="B550" s="1" t="str">
        <f>LEFT(Table1[[#This Row],[Item]], FIND("-", Table1[[#This Row],[Item]]) - 1)</f>
        <v>MA08</v>
      </c>
      <c r="C550" s="1" t="str">
        <f>MID(LEFT(Table1[[#This Row],[Item]], FIND("{token}", SUBSTITUTE(Table1[[#This Row],[Item]], "-", "{token}", 2)) - 1), FIND("-", Table1[[#This Row],[Item]]) + 1, LEN(Table1[[#This Row],[Item]]))</f>
        <v>C</v>
      </c>
      <c r="D55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5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50" s="1" cm="1">
        <f t="array" ref="F550">VALUE(INDEX(_xlfn.TEXTSPLIT(Table1[[#This Row],[Item]], "-"), 5))</f>
        <v>0</v>
      </c>
      <c r="G550" s="1" cm="1">
        <f t="array" ref="G550">VALUE(INDEX(_xlfn.TEXTSPLIT(Table1[[#This Row],[Item]], "-"), 6))</f>
        <v>0</v>
      </c>
      <c r="H550" s="1" cm="1">
        <f t="array" ref="H550">VALUE(INDEX(_xlfn.TEXTSPLIT(Table1[[#This Row],[Item]], "-"), 7))</f>
        <v>0</v>
      </c>
      <c r="I550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50" s="1" t="str">
        <f>LEFT(RIGHT(Table1[[#This Row],[Item]],6),1)</f>
        <v>Y</v>
      </c>
      <c r="K550" s="1" t="str">
        <f t="shared" si="9"/>
        <v>Y</v>
      </c>
      <c r="L550" s="1" t="str">
        <f>RIGHT(Table1[[#This Row],[Item]],2)</f>
        <v>BR</v>
      </c>
      <c r="M550" s="1" t="s">
        <v>33</v>
      </c>
      <c r="N550" s="3" t="s">
        <v>487</v>
      </c>
      <c r="O550" s="1"/>
    </row>
    <row r="551" spans="1:15" ht="15" customHeight="1">
      <c r="A551" t="s">
        <v>571</v>
      </c>
      <c r="B551" s="1" t="str">
        <f>LEFT(Table1[[#This Row],[Item]], FIND("-", Table1[[#This Row],[Item]]) - 1)</f>
        <v>MA08</v>
      </c>
      <c r="C551" s="1" t="str">
        <f>MID(LEFT(Table1[[#This Row],[Item]], FIND("{token}", SUBSTITUTE(Table1[[#This Row],[Item]], "-", "{token}", 2)) - 1), FIND("-", Table1[[#This Row],[Item]]) + 1, LEN(Table1[[#This Row],[Item]]))</f>
        <v>N</v>
      </c>
      <c r="D55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5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51" s="1" cm="1">
        <f t="array" ref="F551">VALUE(INDEX(_xlfn.TEXTSPLIT(Table1[[#This Row],[Item]], "-"), 5))</f>
        <v>1</v>
      </c>
      <c r="G551" s="1" cm="1">
        <f t="array" ref="G551">VALUE(INDEX(_xlfn.TEXTSPLIT(Table1[[#This Row],[Item]], "-"), 6))</f>
        <v>0</v>
      </c>
      <c r="H551" s="1" cm="1">
        <f t="array" ref="H551">VALUE(INDEX(_xlfn.TEXTSPLIT(Table1[[#This Row],[Item]], "-"), 7))</f>
        <v>0</v>
      </c>
      <c r="I551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51" s="1" t="str">
        <f>LEFT(RIGHT(Table1[[#This Row],[Item]],6),1)</f>
        <v>Y</v>
      </c>
      <c r="K551" s="1" t="str">
        <f t="shared" si="9"/>
        <v>Y</v>
      </c>
      <c r="L551" s="1" t="str">
        <f>RIGHT(Table1[[#This Row],[Item]],2)</f>
        <v>BR</v>
      </c>
      <c r="M551" s="1" t="s">
        <v>33</v>
      </c>
      <c r="N551" s="3" t="s">
        <v>488</v>
      </c>
      <c r="O551" s="1"/>
    </row>
    <row r="552" spans="1:15" ht="15" customHeight="1">
      <c r="A552" t="s">
        <v>572</v>
      </c>
      <c r="B552" s="1" t="str">
        <f>LEFT(Table1[[#This Row],[Item]], FIND("-", Table1[[#This Row],[Item]]) - 1)</f>
        <v>MA10</v>
      </c>
      <c r="C552" s="1" t="str">
        <f>MID(LEFT(Table1[[#This Row],[Item]], FIND("{token}", SUBSTITUTE(Table1[[#This Row],[Item]], "-", "{token}", 2)) - 1), FIND("-", Table1[[#This Row],[Item]]) + 1, LEN(Table1[[#This Row],[Item]]))</f>
        <v>N</v>
      </c>
      <c r="D55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5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52" s="1" cm="1">
        <f t="array" ref="F552">VALUE(INDEX(_xlfn.TEXTSPLIT(Table1[[#This Row],[Item]], "-"), 5))</f>
        <v>2</v>
      </c>
      <c r="G552" s="1" cm="1">
        <f t="array" ref="G552">VALUE(INDEX(_xlfn.TEXTSPLIT(Table1[[#This Row],[Item]], "-"), 6))</f>
        <v>0</v>
      </c>
      <c r="H552" s="1" cm="1">
        <f t="array" ref="H552">VALUE(INDEX(_xlfn.TEXTSPLIT(Table1[[#This Row],[Item]], "-"), 7))</f>
        <v>0</v>
      </c>
      <c r="I552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52" s="1" t="str">
        <f>LEFT(RIGHT(Table1[[#This Row],[Item]],6),1)</f>
        <v>N</v>
      </c>
      <c r="K552" s="1" t="str">
        <f t="shared" si="9"/>
        <v>Y</v>
      </c>
      <c r="L552" s="1" t="str">
        <f>RIGHT(Table1[[#This Row],[Item]],2)</f>
        <v>BR</v>
      </c>
      <c r="M552" s="1" t="s">
        <v>33</v>
      </c>
      <c r="N552" s="3" t="s">
        <v>489</v>
      </c>
      <c r="O552" s="1"/>
    </row>
    <row r="553" spans="1:15" ht="15" customHeight="1">
      <c r="A553" t="s">
        <v>573</v>
      </c>
      <c r="B553" s="1" t="str">
        <f>LEFT(Table1[[#This Row],[Item]], FIND("-", Table1[[#This Row],[Item]]) - 1)</f>
        <v>MA10</v>
      </c>
      <c r="C553" s="1" t="str">
        <f>MID(LEFT(Table1[[#This Row],[Item]], FIND("{token}", SUBSTITUTE(Table1[[#This Row],[Item]], "-", "{token}", 2)) - 1), FIND("-", Table1[[#This Row],[Item]]) + 1, LEN(Table1[[#This Row],[Item]]))</f>
        <v>N</v>
      </c>
      <c r="D55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5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53" s="1" cm="1">
        <f t="array" ref="F553">VALUE(INDEX(_xlfn.TEXTSPLIT(Table1[[#This Row],[Item]], "-"), 5))</f>
        <v>2</v>
      </c>
      <c r="G553" s="1" cm="1">
        <f t="array" ref="G553">VALUE(INDEX(_xlfn.TEXTSPLIT(Table1[[#This Row],[Item]], "-"), 6))</f>
        <v>0</v>
      </c>
      <c r="H553" s="1" cm="1">
        <f t="array" ref="H553">VALUE(INDEX(_xlfn.TEXTSPLIT(Table1[[#This Row],[Item]], "-"), 7))</f>
        <v>0</v>
      </c>
      <c r="I553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53" s="1" t="str">
        <f>LEFT(RIGHT(Table1[[#This Row],[Item]],6),1)</f>
        <v>Y</v>
      </c>
      <c r="K553" s="1" t="str">
        <f t="shared" si="9"/>
        <v>Y</v>
      </c>
      <c r="L553" s="1" t="str">
        <f>RIGHT(Table1[[#This Row],[Item]],2)</f>
        <v>BR</v>
      </c>
      <c r="M553" s="1" t="s">
        <v>33</v>
      </c>
      <c r="N553" s="3" t="s">
        <v>490</v>
      </c>
      <c r="O553" s="1"/>
    </row>
    <row r="554" spans="1:15" ht="15" customHeight="1">
      <c r="A554" t="s">
        <v>574</v>
      </c>
      <c r="B554" s="1" t="str">
        <f>LEFT(Table1[[#This Row],[Item]], FIND("-", Table1[[#This Row],[Item]]) - 1)</f>
        <v>MA12</v>
      </c>
      <c r="C554" s="1" t="str">
        <f>MID(LEFT(Table1[[#This Row],[Item]], FIND("{token}", SUBSTITUTE(Table1[[#This Row],[Item]], "-", "{token}", 2)) - 1), FIND("-", Table1[[#This Row],[Item]]) + 1, LEN(Table1[[#This Row],[Item]]))</f>
        <v>C</v>
      </c>
      <c r="D55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5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54" s="1" cm="1">
        <f t="array" ref="F554">VALUE(INDEX(_xlfn.TEXTSPLIT(Table1[[#This Row],[Item]], "-"), 5))</f>
        <v>2</v>
      </c>
      <c r="G554" s="1" cm="1">
        <f t="array" ref="G554">VALUE(INDEX(_xlfn.TEXTSPLIT(Table1[[#This Row],[Item]], "-"), 6))</f>
        <v>0</v>
      </c>
      <c r="H554" s="1" cm="1">
        <f t="array" ref="H554">VALUE(INDEX(_xlfn.TEXTSPLIT(Table1[[#This Row],[Item]], "-"), 7))</f>
        <v>0</v>
      </c>
      <c r="I554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54" s="1" t="str">
        <f>LEFT(RIGHT(Table1[[#This Row],[Item]],6),1)</f>
        <v>Y</v>
      </c>
      <c r="K554" s="1" t="str">
        <f t="shared" si="9"/>
        <v>Y</v>
      </c>
      <c r="L554" s="1" t="str">
        <f>RIGHT(Table1[[#This Row],[Item]],2)</f>
        <v>BR</v>
      </c>
      <c r="M554" s="1" t="s">
        <v>33</v>
      </c>
      <c r="N554" s="3" t="s">
        <v>491</v>
      </c>
      <c r="O554" s="1"/>
    </row>
    <row r="555" spans="1:15" ht="15" customHeight="1">
      <c r="A555" t="s">
        <v>575</v>
      </c>
      <c r="B555" s="1" t="str">
        <f>LEFT(Table1[[#This Row],[Item]], FIND("-", Table1[[#This Row],[Item]]) - 1)</f>
        <v>MA12</v>
      </c>
      <c r="C555" s="1" t="str">
        <f>MID(LEFT(Table1[[#This Row],[Item]], FIND("{token}", SUBSTITUTE(Table1[[#This Row],[Item]], "-", "{token}", 2)) - 1), FIND("-", Table1[[#This Row],[Item]]) + 1, LEN(Table1[[#This Row],[Item]]))</f>
        <v>D</v>
      </c>
      <c r="D555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55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555" s="1" cm="1">
        <f t="array" ref="F555">VALUE(INDEX(_xlfn.TEXTSPLIT(Table1[[#This Row],[Item]], "-"), 5))</f>
        <v>0</v>
      </c>
      <c r="G555" s="1" cm="1">
        <f t="array" ref="G555">VALUE(INDEX(_xlfn.TEXTSPLIT(Table1[[#This Row],[Item]], "-"), 6))</f>
        <v>1</v>
      </c>
      <c r="H555" s="1" cm="1">
        <f t="array" ref="H555">VALUE(INDEX(_xlfn.TEXTSPLIT(Table1[[#This Row],[Item]], "-"), 7))</f>
        <v>0</v>
      </c>
      <c r="I555" s="1" t="str">
        <f>MID(LEFT(Table1[[#This Row],[Item]], FIND("{token}", SUBSTITUTE(Table1[[#This Row],[Item]], "-", "{token}", 8)) - 1), FIND("{token}", SUBSTITUTE(Table1[[#This Row],[Item]], "-", "{token}", 7)) + 1, LEN(Table1[[#This Row],[Item]]))</f>
        <v>LSPO</v>
      </c>
      <c r="J555" s="1" t="str">
        <f>LEFT(RIGHT(Table1[[#This Row],[Item]],6),1)</f>
        <v>Y</v>
      </c>
      <c r="K555" s="1" t="str">
        <f t="shared" si="9"/>
        <v>Y</v>
      </c>
      <c r="L555" s="1" t="str">
        <f>RIGHT(Table1[[#This Row],[Item]],2)</f>
        <v>BR</v>
      </c>
      <c r="M555" s="1" t="s">
        <v>33</v>
      </c>
      <c r="N555" s="3" t="s">
        <v>492</v>
      </c>
      <c r="O555" s="1"/>
    </row>
    <row r="556" spans="1:15" ht="15" customHeight="1">
      <c r="A556" t="s">
        <v>576</v>
      </c>
      <c r="B556" s="1" t="str">
        <f>LEFT(Table1[[#This Row],[Item]], FIND("-", Table1[[#This Row],[Item]]) - 1)</f>
        <v>MA12</v>
      </c>
      <c r="C556" s="1" t="str">
        <f>MID(LEFT(Table1[[#This Row],[Item]], FIND("{token}", SUBSTITUTE(Table1[[#This Row],[Item]], "-", "{token}", 2)) - 1), FIND("-", Table1[[#This Row],[Item]]) + 1, LEN(Table1[[#This Row],[Item]]))</f>
        <v>D</v>
      </c>
      <c r="D556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55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556" s="1" cm="1">
        <f t="array" ref="F556">VALUE(INDEX(_xlfn.TEXTSPLIT(Table1[[#This Row],[Item]], "-"), 5))</f>
        <v>0</v>
      </c>
      <c r="G556" s="1" cm="1">
        <f t="array" ref="G556">VALUE(INDEX(_xlfn.TEXTSPLIT(Table1[[#This Row],[Item]], "-"), 6))</f>
        <v>2</v>
      </c>
      <c r="H556" s="1" cm="1">
        <f t="array" ref="H556">VALUE(INDEX(_xlfn.TEXTSPLIT(Table1[[#This Row],[Item]], "-"), 7))</f>
        <v>0</v>
      </c>
      <c r="I556" s="1" t="str">
        <f>MID(LEFT(Table1[[#This Row],[Item]], FIND("{token}", SUBSTITUTE(Table1[[#This Row],[Item]], "-", "{token}", 8)) - 1), FIND("{token}", SUBSTITUTE(Table1[[#This Row],[Item]], "-", "{token}", 7)) + 1, LEN(Table1[[#This Row],[Item]]))</f>
        <v>LSPO</v>
      </c>
      <c r="J556" s="1" t="str">
        <f>LEFT(RIGHT(Table1[[#This Row],[Item]],6),1)</f>
        <v>Y</v>
      </c>
      <c r="K556" s="1" t="str">
        <f t="shared" si="9"/>
        <v>Y</v>
      </c>
      <c r="L556" s="1" t="str">
        <f>RIGHT(Table1[[#This Row],[Item]],2)</f>
        <v>BR</v>
      </c>
      <c r="M556" s="1" t="s">
        <v>33</v>
      </c>
      <c r="N556" s="3" t="s">
        <v>493</v>
      </c>
      <c r="O556" s="1"/>
    </row>
    <row r="557" spans="1:15" ht="15" customHeight="1">
      <c r="A557" t="s">
        <v>577</v>
      </c>
      <c r="B557" s="1" t="str">
        <f>LEFT(Table1[[#This Row],[Item]], FIND("-", Table1[[#This Row],[Item]]) - 1)</f>
        <v>MA12</v>
      </c>
      <c r="C557" s="1" t="str">
        <f>MID(LEFT(Table1[[#This Row],[Item]], FIND("{token}", SUBSTITUTE(Table1[[#This Row],[Item]], "-", "{token}", 2)) - 1), FIND("-", Table1[[#This Row],[Item]]) + 1, LEN(Table1[[#This Row],[Item]]))</f>
        <v>D</v>
      </c>
      <c r="D55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5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557" s="1" cm="1">
        <f t="array" ref="F557">VALUE(INDEX(_xlfn.TEXTSPLIT(Table1[[#This Row],[Item]], "-"), 5))</f>
        <v>0</v>
      </c>
      <c r="G557" s="1" cm="1">
        <f t="array" ref="G557">VALUE(INDEX(_xlfn.TEXTSPLIT(Table1[[#This Row],[Item]], "-"), 6))</f>
        <v>1</v>
      </c>
      <c r="H557" s="1" cm="1">
        <f t="array" ref="H557">VALUE(INDEX(_xlfn.TEXTSPLIT(Table1[[#This Row],[Item]], "-"), 7))</f>
        <v>0</v>
      </c>
      <c r="I557" s="1" t="str">
        <f>MID(LEFT(Table1[[#This Row],[Item]], FIND("{token}", SUBSTITUTE(Table1[[#This Row],[Item]], "-", "{token}", 8)) - 1), FIND("{token}", SUBSTITUTE(Table1[[#This Row],[Item]], "-", "{token}", 7)) + 1, LEN(Table1[[#This Row],[Item]]))</f>
        <v>LSPO</v>
      </c>
      <c r="J557" s="1" t="str">
        <f>LEFT(RIGHT(Table1[[#This Row],[Item]],6),1)</f>
        <v>Y</v>
      </c>
      <c r="K557" s="1" t="str">
        <f t="shared" si="9"/>
        <v>Y</v>
      </c>
      <c r="L557" s="1" t="str">
        <f>RIGHT(Table1[[#This Row],[Item]],2)</f>
        <v>BR</v>
      </c>
      <c r="M557" s="1" t="s">
        <v>33</v>
      </c>
      <c r="N557" s="3" t="s">
        <v>494</v>
      </c>
      <c r="O557" s="1"/>
    </row>
    <row r="558" spans="1:15" ht="15" customHeight="1">
      <c r="A558" t="s">
        <v>578</v>
      </c>
      <c r="B558" s="1" t="str">
        <f>LEFT(Table1[[#This Row],[Item]], FIND("-", Table1[[#This Row],[Item]]) - 1)</f>
        <v>MA12</v>
      </c>
      <c r="C558" s="1" t="str">
        <f>MID(LEFT(Table1[[#This Row],[Item]], FIND("{token}", SUBSTITUTE(Table1[[#This Row],[Item]], "-", "{token}", 2)) - 1), FIND("-", Table1[[#This Row],[Item]]) + 1, LEN(Table1[[#This Row],[Item]]))</f>
        <v>DXL</v>
      </c>
      <c r="D55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5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558" s="1" cm="1">
        <f t="array" ref="F558">VALUE(INDEX(_xlfn.TEXTSPLIT(Table1[[#This Row],[Item]], "-"), 5))</f>
        <v>0</v>
      </c>
      <c r="G558" s="1" cm="1">
        <f t="array" ref="G558">VALUE(INDEX(_xlfn.TEXTSPLIT(Table1[[#This Row],[Item]], "-"), 6))</f>
        <v>1</v>
      </c>
      <c r="H558" s="1" cm="1">
        <f t="array" ref="H558">VALUE(INDEX(_xlfn.TEXTSPLIT(Table1[[#This Row],[Item]], "-"), 7))</f>
        <v>0</v>
      </c>
      <c r="I558" s="1" t="str">
        <f>MID(LEFT(Table1[[#This Row],[Item]], FIND("{token}", SUBSTITUTE(Table1[[#This Row],[Item]], "-", "{token}", 8)) - 1), FIND("{token}", SUBSTITUTE(Table1[[#This Row],[Item]], "-", "{token}", 7)) + 1, LEN(Table1[[#This Row],[Item]]))</f>
        <v>LSPO</v>
      </c>
      <c r="J558" s="1" t="str">
        <f>LEFT(RIGHT(Table1[[#This Row],[Item]],6),1)</f>
        <v>Y</v>
      </c>
      <c r="K558" s="1" t="str">
        <f t="shared" si="9"/>
        <v>Y</v>
      </c>
      <c r="L558" s="1" t="str">
        <f>RIGHT(Table1[[#This Row],[Item]],2)</f>
        <v>BR</v>
      </c>
      <c r="M558" s="1" t="s">
        <v>33</v>
      </c>
      <c r="N558" s="3" t="s">
        <v>495</v>
      </c>
      <c r="O558" s="1"/>
    </row>
    <row r="559" spans="1:15" ht="15" customHeight="1">
      <c r="A559" t="s">
        <v>579</v>
      </c>
      <c r="B559" s="1" t="str">
        <f>LEFT(Table1[[#This Row],[Item]], FIND("-", Table1[[#This Row],[Item]]) - 1)</f>
        <v>MA14</v>
      </c>
      <c r="C559" s="1" t="str">
        <f>MID(LEFT(Table1[[#This Row],[Item]], FIND("{token}", SUBSTITUTE(Table1[[#This Row],[Item]], "-", "{token}", 2)) - 1), FIND("-", Table1[[#This Row],[Item]]) + 1, LEN(Table1[[#This Row],[Item]]))</f>
        <v>C</v>
      </c>
      <c r="D55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5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59" s="1" cm="1">
        <f t="array" ref="F559">VALUE(INDEX(_xlfn.TEXTSPLIT(Table1[[#This Row],[Item]], "-"), 5))</f>
        <v>2</v>
      </c>
      <c r="G559" s="1" cm="1">
        <f t="array" ref="G559">VALUE(INDEX(_xlfn.TEXTSPLIT(Table1[[#This Row],[Item]], "-"), 6))</f>
        <v>0</v>
      </c>
      <c r="H559" s="1" cm="1">
        <f t="array" ref="H559">VALUE(INDEX(_xlfn.TEXTSPLIT(Table1[[#This Row],[Item]], "-"), 7))</f>
        <v>0</v>
      </c>
      <c r="I559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59" s="1" t="str">
        <f>LEFT(RIGHT(Table1[[#This Row],[Item]],6),1)</f>
        <v>Y</v>
      </c>
      <c r="K559" s="1" t="str">
        <f t="shared" si="9"/>
        <v>Y</v>
      </c>
      <c r="L559" s="1" t="str">
        <f>RIGHT(Table1[[#This Row],[Item]],2)</f>
        <v>BR</v>
      </c>
      <c r="M559" s="1" t="s">
        <v>33</v>
      </c>
      <c r="N559" s="3" t="s">
        <v>496</v>
      </c>
      <c r="O559" s="1"/>
    </row>
    <row r="560" spans="1:15" ht="15" customHeight="1">
      <c r="A560" t="s">
        <v>580</v>
      </c>
      <c r="B560" s="1" t="str">
        <f>LEFT(Table1[[#This Row],[Item]], FIND("-", Table1[[#This Row],[Item]]) - 1)</f>
        <v>MA14</v>
      </c>
      <c r="C560" s="1" t="str">
        <f>MID(LEFT(Table1[[#This Row],[Item]], FIND("{token}", SUBSTITUTE(Table1[[#This Row],[Item]], "-", "{token}", 2)) - 1), FIND("-", Table1[[#This Row],[Item]]) + 1, LEN(Table1[[#This Row],[Item]]))</f>
        <v>D</v>
      </c>
      <c r="D56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56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560" s="1" cm="1">
        <f t="array" ref="F560">VALUE(INDEX(_xlfn.TEXTSPLIT(Table1[[#This Row],[Item]], "-"), 5))</f>
        <v>0</v>
      </c>
      <c r="G560" s="1" cm="1">
        <f t="array" ref="G560">VALUE(INDEX(_xlfn.TEXTSPLIT(Table1[[#This Row],[Item]], "-"), 6))</f>
        <v>2</v>
      </c>
      <c r="H560" s="1" cm="1">
        <f t="array" ref="H560">VALUE(INDEX(_xlfn.TEXTSPLIT(Table1[[#This Row],[Item]], "-"), 7))</f>
        <v>0</v>
      </c>
      <c r="I560" s="1" t="str">
        <f>MID(LEFT(Table1[[#This Row],[Item]], FIND("{token}", SUBSTITUTE(Table1[[#This Row],[Item]], "-", "{token}", 8)) - 1), FIND("{token}", SUBSTITUTE(Table1[[#This Row],[Item]], "-", "{token}", 7)) + 1, LEN(Table1[[#This Row],[Item]]))</f>
        <v>LSPO</v>
      </c>
      <c r="J560" s="1" t="str">
        <f>LEFT(RIGHT(Table1[[#This Row],[Item]],6),1)</f>
        <v>Y</v>
      </c>
      <c r="K560" s="1" t="str">
        <f t="shared" si="9"/>
        <v>Y</v>
      </c>
      <c r="L560" s="1" t="str">
        <f>RIGHT(Table1[[#This Row],[Item]],2)</f>
        <v>BR</v>
      </c>
      <c r="M560" s="1" t="s">
        <v>33</v>
      </c>
      <c r="N560" s="3" t="s">
        <v>497</v>
      </c>
      <c r="O560" s="1"/>
    </row>
    <row r="561" spans="1:15" ht="15" customHeight="1">
      <c r="A561" t="s">
        <v>581</v>
      </c>
      <c r="B561" s="1" t="str">
        <f>LEFT(Table1[[#This Row],[Item]], FIND("-", Table1[[#This Row],[Item]]) - 1)</f>
        <v>MA14</v>
      </c>
      <c r="C561" s="1" t="str">
        <f>MID(LEFT(Table1[[#This Row],[Item]], FIND("{token}", SUBSTITUTE(Table1[[#This Row],[Item]], "-", "{token}", 2)) - 1), FIND("-", Table1[[#This Row],[Item]]) + 1, LEN(Table1[[#This Row],[Item]]))</f>
        <v>D</v>
      </c>
      <c r="D56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56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561" s="1" cm="1">
        <f t="array" ref="F561">VALUE(INDEX(_xlfn.TEXTSPLIT(Table1[[#This Row],[Item]], "-"), 5))</f>
        <v>0</v>
      </c>
      <c r="G561" s="1" cm="1">
        <f t="array" ref="G561">VALUE(INDEX(_xlfn.TEXTSPLIT(Table1[[#This Row],[Item]], "-"), 6))</f>
        <v>2</v>
      </c>
      <c r="H561" s="1" cm="1">
        <f t="array" ref="H561">VALUE(INDEX(_xlfn.TEXTSPLIT(Table1[[#This Row],[Item]], "-"), 7))</f>
        <v>0</v>
      </c>
      <c r="I561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61" s="1" t="str">
        <f>LEFT(RIGHT(Table1[[#This Row],[Item]],6),1)</f>
        <v>Y</v>
      </c>
      <c r="K561" s="1" t="str">
        <f t="shared" si="9"/>
        <v>Y</v>
      </c>
      <c r="L561" s="1" t="str">
        <f>RIGHT(Table1[[#This Row],[Item]],2)</f>
        <v>BR</v>
      </c>
      <c r="M561" s="1" t="s">
        <v>33</v>
      </c>
      <c r="N561" s="3" t="s">
        <v>498</v>
      </c>
      <c r="O561" s="1"/>
    </row>
    <row r="562" spans="1:15" ht="15" customHeight="1">
      <c r="A562" t="s">
        <v>582</v>
      </c>
      <c r="B562" s="1" t="str">
        <f>LEFT(Table1[[#This Row],[Item]], FIND("-", Table1[[#This Row],[Item]]) - 1)</f>
        <v>MA14</v>
      </c>
      <c r="C562" s="1" t="str">
        <f>MID(LEFT(Table1[[#This Row],[Item]], FIND("{token}", SUBSTITUTE(Table1[[#This Row],[Item]], "-", "{token}", 2)) - 1), FIND("-", Table1[[#This Row],[Item]]) + 1, LEN(Table1[[#This Row],[Item]]))</f>
        <v>DXL</v>
      </c>
      <c r="D56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6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562" s="1" cm="1">
        <f t="array" ref="F562">VALUE(INDEX(_xlfn.TEXTSPLIT(Table1[[#This Row],[Item]], "-"), 5))</f>
        <v>0</v>
      </c>
      <c r="G562" s="1" cm="1">
        <f t="array" ref="G562">VALUE(INDEX(_xlfn.TEXTSPLIT(Table1[[#This Row],[Item]], "-"), 6))</f>
        <v>2</v>
      </c>
      <c r="H562" s="1" cm="1">
        <f t="array" ref="H562">VALUE(INDEX(_xlfn.TEXTSPLIT(Table1[[#This Row],[Item]], "-"), 7))</f>
        <v>0</v>
      </c>
      <c r="I562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62" s="1" t="str">
        <f>LEFT(RIGHT(Table1[[#This Row],[Item]],6),1)</f>
        <v>Y</v>
      </c>
      <c r="K562" s="1" t="str">
        <f t="shared" si="9"/>
        <v>Y</v>
      </c>
      <c r="L562" s="1" t="str">
        <f>RIGHT(Table1[[#This Row],[Item]],2)</f>
        <v>BR</v>
      </c>
      <c r="M562" s="1" t="s">
        <v>33</v>
      </c>
      <c r="N562" s="3" t="s">
        <v>499</v>
      </c>
      <c r="O562" s="1"/>
    </row>
    <row r="563" spans="1:15" ht="15" customHeight="1">
      <c r="A563" t="s">
        <v>583</v>
      </c>
      <c r="B563" s="1" t="str">
        <f>LEFT(Table1[[#This Row],[Item]], FIND("-", Table1[[#This Row],[Item]]) - 1)</f>
        <v>STC8</v>
      </c>
      <c r="C563" s="1" t="str">
        <f>MID(LEFT(Table1[[#This Row],[Item]], FIND("{token}", SUBSTITUTE(Table1[[#This Row],[Item]], "-", "{token}", 2)) - 1), FIND("-", Table1[[#This Row],[Item]]) + 1, LEN(Table1[[#This Row],[Item]]))</f>
        <v>N</v>
      </c>
      <c r="D56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6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63" s="1" cm="1">
        <f t="array" ref="F563">VALUE(INDEX(_xlfn.TEXTSPLIT(Table1[[#This Row],[Item]], "-"), 5))</f>
        <v>1</v>
      </c>
      <c r="G563" s="1" cm="1">
        <f t="array" ref="G563">VALUE(INDEX(_xlfn.TEXTSPLIT(Table1[[#This Row],[Item]], "-"), 6))</f>
        <v>0</v>
      </c>
      <c r="H563" s="1" cm="1">
        <f t="array" ref="H563">VALUE(INDEX(_xlfn.TEXTSPLIT(Table1[[#This Row],[Item]], "-"), 7))</f>
        <v>0</v>
      </c>
      <c r="I563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63" s="1" t="str">
        <f>LEFT(RIGHT(Table1[[#This Row],[Item]],6),1)</f>
        <v>N</v>
      </c>
      <c r="K563" s="1" t="str">
        <f t="shared" si="9"/>
        <v>Y</v>
      </c>
      <c r="L563" s="1" t="str">
        <f>RIGHT(Table1[[#This Row],[Item]],2)</f>
        <v>BR</v>
      </c>
      <c r="M563" s="1" t="s">
        <v>33</v>
      </c>
      <c r="N563" s="3" t="s">
        <v>500</v>
      </c>
      <c r="O563" s="1"/>
    </row>
    <row r="564" spans="1:15" ht="15" customHeight="1">
      <c r="A564" t="s">
        <v>584</v>
      </c>
      <c r="B564" s="1" t="str">
        <f>LEFT(Table1[[#This Row],[Item]], FIND("-", Table1[[#This Row],[Item]]) - 1)</f>
        <v>STC8</v>
      </c>
      <c r="C564" s="1" t="str">
        <f>MID(LEFT(Table1[[#This Row],[Item]], FIND("{token}", SUBSTITUTE(Table1[[#This Row],[Item]], "-", "{token}", 2)) - 1), FIND("-", Table1[[#This Row],[Item]]) + 1, LEN(Table1[[#This Row],[Item]]))</f>
        <v>N</v>
      </c>
      <c r="D56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6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64" s="1" cm="1">
        <f t="array" ref="F564">VALUE(INDEX(_xlfn.TEXTSPLIT(Table1[[#This Row],[Item]], "-"), 5))</f>
        <v>1</v>
      </c>
      <c r="G564" s="1" cm="1">
        <f t="array" ref="G564">VALUE(INDEX(_xlfn.TEXTSPLIT(Table1[[#This Row],[Item]], "-"), 6))</f>
        <v>0</v>
      </c>
      <c r="H564" s="1" cm="1">
        <f t="array" ref="H564">VALUE(INDEX(_xlfn.TEXTSPLIT(Table1[[#This Row],[Item]], "-"), 7))</f>
        <v>0</v>
      </c>
      <c r="I564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64" s="1" t="str">
        <f>LEFT(RIGHT(Table1[[#This Row],[Item]],6),1)</f>
        <v>Y</v>
      </c>
      <c r="K564" s="1" t="str">
        <f t="shared" si="9"/>
        <v>Y</v>
      </c>
      <c r="L564" s="1" t="str">
        <f>RIGHT(Table1[[#This Row],[Item]],2)</f>
        <v>BR</v>
      </c>
      <c r="M564" s="1" t="s">
        <v>33</v>
      </c>
      <c r="N564" s="3" t="s">
        <v>501</v>
      </c>
      <c r="O564" s="1"/>
    </row>
    <row r="565" spans="1:15" ht="15" customHeight="1">
      <c r="A565" t="s">
        <v>585</v>
      </c>
      <c r="B565" s="1" t="str">
        <f>LEFT(Table1[[#This Row],[Item]], FIND("-", Table1[[#This Row],[Item]]) - 1)</f>
        <v>STC9</v>
      </c>
      <c r="C565" s="1" t="str">
        <f>MID(LEFT(Table1[[#This Row],[Item]], FIND("{token}", SUBSTITUTE(Table1[[#This Row],[Item]], "-", "{token}", 2)) - 1), FIND("-", Table1[[#This Row],[Item]]) + 1, LEN(Table1[[#This Row],[Item]]))</f>
        <v>C</v>
      </c>
      <c r="D56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6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65" s="1" cm="1">
        <f t="array" ref="F565">VALUE(INDEX(_xlfn.TEXTSPLIT(Table1[[#This Row],[Item]], "-"), 5))</f>
        <v>0</v>
      </c>
      <c r="G565" s="1" cm="1">
        <f t="array" ref="G565">VALUE(INDEX(_xlfn.TEXTSPLIT(Table1[[#This Row],[Item]], "-"), 6))</f>
        <v>0</v>
      </c>
      <c r="H565" s="1" cm="1">
        <f t="array" ref="H565">VALUE(INDEX(_xlfn.TEXTSPLIT(Table1[[#This Row],[Item]], "-"), 7))</f>
        <v>0</v>
      </c>
      <c r="I565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65" s="1" t="str">
        <f>LEFT(RIGHT(Table1[[#This Row],[Item]],6),1)</f>
        <v>Y</v>
      </c>
      <c r="K565" s="1" t="str">
        <f t="shared" si="9"/>
        <v>Y</v>
      </c>
      <c r="L565" s="1" t="str">
        <f>RIGHT(Table1[[#This Row],[Item]],2)</f>
        <v>BR</v>
      </c>
      <c r="M565" s="1" t="s">
        <v>33</v>
      </c>
      <c r="N565" s="3" t="s">
        <v>502</v>
      </c>
      <c r="O565" s="1"/>
    </row>
    <row r="566" spans="1:15" ht="15" customHeight="1">
      <c r="A566" t="s">
        <v>586</v>
      </c>
      <c r="B566" s="1" t="str">
        <f>LEFT(Table1[[#This Row],[Item]], FIND("-", Table1[[#This Row],[Item]]) - 1)</f>
        <v>STC9</v>
      </c>
      <c r="C566" s="1" t="str">
        <f>MID(LEFT(Table1[[#This Row],[Item]], FIND("{token}", SUBSTITUTE(Table1[[#This Row],[Item]], "-", "{token}", 2)) - 1), FIND("-", Table1[[#This Row],[Item]]) + 1, LEN(Table1[[#This Row],[Item]]))</f>
        <v>N</v>
      </c>
      <c r="D56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6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66" s="1" cm="1">
        <f t="array" ref="F566">VALUE(INDEX(_xlfn.TEXTSPLIT(Table1[[#This Row],[Item]], "-"), 5))</f>
        <v>2</v>
      </c>
      <c r="G566" s="1" cm="1">
        <f t="array" ref="G566">VALUE(INDEX(_xlfn.TEXTSPLIT(Table1[[#This Row],[Item]], "-"), 6))</f>
        <v>0</v>
      </c>
      <c r="H566" s="1" cm="1">
        <f t="array" ref="H566">VALUE(INDEX(_xlfn.TEXTSPLIT(Table1[[#This Row],[Item]], "-"), 7))</f>
        <v>0</v>
      </c>
      <c r="I566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66" s="1" t="str">
        <f>LEFT(RIGHT(Table1[[#This Row],[Item]],6),1)</f>
        <v>Y</v>
      </c>
      <c r="K566" s="1" t="str">
        <f t="shared" si="9"/>
        <v>Y</v>
      </c>
      <c r="L566" s="1" t="str">
        <f>RIGHT(Table1[[#This Row],[Item]],2)</f>
        <v>BR</v>
      </c>
      <c r="M566" s="1" t="s">
        <v>33</v>
      </c>
      <c r="N566" s="3" t="s">
        <v>503</v>
      </c>
      <c r="O566" s="1"/>
    </row>
    <row r="567" spans="1:15" ht="15" customHeight="1">
      <c r="A567" t="s">
        <v>587</v>
      </c>
      <c r="B567" s="1" t="str">
        <f>LEFT(Table1[[#This Row],[Item]], FIND("-", Table1[[#This Row],[Item]]) - 1)</f>
        <v>STT7</v>
      </c>
      <c r="C567" s="1" t="str">
        <f>MID(LEFT(Table1[[#This Row],[Item]], FIND("{token}", SUBSTITUTE(Table1[[#This Row],[Item]], "-", "{token}", 2)) - 1), FIND("-", Table1[[#This Row],[Item]]) + 1, LEN(Table1[[#This Row],[Item]]))</f>
        <v>N</v>
      </c>
      <c r="D56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6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67" s="1" cm="1">
        <f t="array" ref="F567">VALUE(INDEX(_xlfn.TEXTSPLIT(Table1[[#This Row],[Item]], "-"), 5))</f>
        <v>0</v>
      </c>
      <c r="G567" s="1" cm="1">
        <f t="array" ref="G567">VALUE(INDEX(_xlfn.TEXTSPLIT(Table1[[#This Row],[Item]], "-"), 6))</f>
        <v>0</v>
      </c>
      <c r="H567" s="1" cm="1">
        <f t="array" ref="H567">VALUE(INDEX(_xlfn.TEXTSPLIT(Table1[[#This Row],[Item]], "-"), 7))</f>
        <v>0</v>
      </c>
      <c r="I567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67" s="1" t="str">
        <f>LEFT(RIGHT(Table1[[#This Row],[Item]],6),1)</f>
        <v>Y</v>
      </c>
      <c r="K567" s="1" t="str">
        <f t="shared" si="9"/>
        <v>N</v>
      </c>
      <c r="L567" s="1" t="str">
        <f>RIGHT(Table1[[#This Row],[Item]],2)</f>
        <v>BR</v>
      </c>
      <c r="M567" s="1" t="s">
        <v>33</v>
      </c>
      <c r="N567" s="3" t="s">
        <v>505</v>
      </c>
      <c r="O567" s="1"/>
    </row>
    <row r="568" spans="1:15" ht="15" customHeight="1">
      <c r="A568" t="s">
        <v>588</v>
      </c>
      <c r="B568" s="1" t="str">
        <f>LEFT(Table1[[#This Row],[Item]], FIND("-", Table1[[#This Row],[Item]]) - 1)</f>
        <v>STT7</v>
      </c>
      <c r="C568" s="1" t="str">
        <f>MID(LEFT(Table1[[#This Row],[Item]], FIND("{token}", SUBSTITUTE(Table1[[#This Row],[Item]], "-", "{token}", 2)) - 1), FIND("-", Table1[[#This Row],[Item]]) + 1, LEN(Table1[[#This Row],[Item]]))</f>
        <v>N</v>
      </c>
      <c r="D56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6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68" s="1" cm="1">
        <f t="array" ref="F568">VALUE(INDEX(_xlfn.TEXTSPLIT(Table1[[#This Row],[Item]], "-"), 5))</f>
        <v>0</v>
      </c>
      <c r="G568" s="1" cm="1">
        <f t="array" ref="G568">VALUE(INDEX(_xlfn.TEXTSPLIT(Table1[[#This Row],[Item]], "-"), 6))</f>
        <v>0</v>
      </c>
      <c r="H568" s="1" cm="1">
        <f t="array" ref="H568">VALUE(INDEX(_xlfn.TEXTSPLIT(Table1[[#This Row],[Item]], "-"), 7))</f>
        <v>0</v>
      </c>
      <c r="I568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68" s="1" t="str">
        <f>LEFT(RIGHT(Table1[[#This Row],[Item]],6),1)</f>
        <v>Y</v>
      </c>
      <c r="K568" s="1" t="str">
        <f t="shared" si="9"/>
        <v>Y</v>
      </c>
      <c r="L568" s="1" t="str">
        <f>RIGHT(Table1[[#This Row],[Item]],2)</f>
        <v>BR</v>
      </c>
      <c r="M568" s="1" t="s">
        <v>33</v>
      </c>
      <c r="N568" s="3" t="s">
        <v>506</v>
      </c>
      <c r="O568" s="1"/>
    </row>
    <row r="569" spans="1:15" ht="15" customHeight="1">
      <c r="A569" t="s">
        <v>589</v>
      </c>
      <c r="B569" s="1" t="str">
        <f>LEFT(Table1[[#This Row],[Item]], FIND("-", Table1[[#This Row],[Item]]) - 1)</f>
        <v>STT9</v>
      </c>
      <c r="C569" s="1" t="str">
        <f>MID(LEFT(Table1[[#This Row],[Item]], FIND("{token}", SUBSTITUTE(Table1[[#This Row],[Item]], "-", "{token}", 2)) - 1), FIND("-", Table1[[#This Row],[Item]]) + 1, LEN(Table1[[#This Row],[Item]]))</f>
        <v>N</v>
      </c>
      <c r="D56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6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69" s="1" cm="1">
        <f t="array" ref="F569">VALUE(INDEX(_xlfn.TEXTSPLIT(Table1[[#This Row],[Item]], "-"), 5))</f>
        <v>0</v>
      </c>
      <c r="G569" s="1" cm="1">
        <f t="array" ref="G569">VALUE(INDEX(_xlfn.TEXTSPLIT(Table1[[#This Row],[Item]], "-"), 6))</f>
        <v>0</v>
      </c>
      <c r="H569" s="1" cm="1">
        <f t="array" ref="H569">VALUE(INDEX(_xlfn.TEXTSPLIT(Table1[[#This Row],[Item]], "-"), 7))</f>
        <v>0</v>
      </c>
      <c r="I569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69" s="1" t="str">
        <f>LEFT(RIGHT(Table1[[#This Row],[Item]],6),1)</f>
        <v>Y</v>
      </c>
      <c r="K569" s="1" t="str">
        <f t="shared" si="9"/>
        <v>Y</v>
      </c>
      <c r="L569" s="1" t="str">
        <f>RIGHT(Table1[[#This Row],[Item]],2)</f>
        <v>BR</v>
      </c>
      <c r="M569" s="1" t="s">
        <v>33</v>
      </c>
      <c r="N569" s="3" t="s">
        <v>507</v>
      </c>
      <c r="O569" s="1"/>
    </row>
    <row r="570" spans="1:15" ht="15" customHeight="1">
      <c r="A570" t="s">
        <v>590</v>
      </c>
      <c r="B570" s="1" t="str">
        <f>LEFT(Table1[[#This Row],[Item]], FIND("-", Table1[[#This Row],[Item]]) - 1)</f>
        <v>ARB8</v>
      </c>
      <c r="C570" s="1" t="str">
        <f>MID(LEFT(Table1[[#This Row],[Item]], FIND("{token}", SUBSTITUTE(Table1[[#This Row],[Item]], "-", "{token}", 2)) - 1), FIND("-", Table1[[#This Row],[Item]]) + 1, LEN(Table1[[#This Row],[Item]]))</f>
        <v>L</v>
      </c>
      <c r="D57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7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70" s="1" cm="1">
        <f t="array" ref="F570">VALUE(INDEX(_xlfn.TEXTSPLIT(Table1[[#This Row],[Item]], "-"), 5))</f>
        <v>1</v>
      </c>
      <c r="G570" s="1" cm="1">
        <f t="array" ref="G570">VALUE(INDEX(_xlfn.TEXTSPLIT(Table1[[#This Row],[Item]], "-"), 6))</f>
        <v>0</v>
      </c>
      <c r="H570" s="1" cm="1">
        <f t="array" ref="H570">VALUE(INDEX(_xlfn.TEXTSPLIT(Table1[[#This Row],[Item]], "-"), 7))</f>
        <v>1</v>
      </c>
      <c r="I570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70" s="1" t="str">
        <f>LEFT(RIGHT(Table1[[#This Row],[Item]],6),1)</f>
        <v>Y</v>
      </c>
      <c r="K570" s="1" t="str">
        <f t="shared" si="9"/>
        <v>Y</v>
      </c>
      <c r="L570" s="1" t="str">
        <f>RIGHT(Table1[[#This Row],[Item]],2)</f>
        <v>BR</v>
      </c>
      <c r="M570" s="1" t="s">
        <v>33</v>
      </c>
      <c r="N570" s="3" t="s">
        <v>516</v>
      </c>
      <c r="O570" s="1"/>
    </row>
    <row r="571" spans="1:15" ht="15" customHeight="1">
      <c r="A571" t="s">
        <v>591</v>
      </c>
      <c r="B571" s="1" t="str">
        <f>LEFT(Table1[[#This Row],[Item]], FIND("-", Table1[[#This Row],[Item]]) - 1)</f>
        <v>MA12</v>
      </c>
      <c r="C571" s="1" t="str">
        <f>MID(LEFT(Table1[[#This Row],[Item]], FIND("{token}", SUBSTITUTE(Table1[[#This Row],[Item]], "-", "{token}", 2)) - 1), FIND("-", Table1[[#This Row],[Item]]) + 1, LEN(Table1[[#This Row],[Item]]))</f>
        <v>DXL</v>
      </c>
      <c r="D57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7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571" s="1" cm="1">
        <f t="array" ref="F571">VALUE(INDEX(_xlfn.TEXTSPLIT(Table1[[#This Row],[Item]], "-"), 5))</f>
        <v>0</v>
      </c>
      <c r="G571" s="1" cm="1">
        <f t="array" ref="G571">VALUE(INDEX(_xlfn.TEXTSPLIT(Table1[[#This Row],[Item]], "-"), 6))</f>
        <v>0</v>
      </c>
      <c r="H571" s="1" cm="1">
        <f t="array" ref="H571">VALUE(INDEX(_xlfn.TEXTSPLIT(Table1[[#This Row],[Item]], "-"), 7))</f>
        <v>0</v>
      </c>
      <c r="I571" s="1" t="str">
        <f>MID(LEFT(Table1[[#This Row],[Item]], FIND("{token}", SUBSTITUTE(Table1[[#This Row],[Item]], "-", "{token}", 8)) - 1), FIND("{token}", SUBSTITUTE(Table1[[#This Row],[Item]], "-", "{token}", 7)) + 1, LEN(Table1[[#This Row],[Item]]))</f>
        <v>LSPO</v>
      </c>
      <c r="J571" s="1" t="str">
        <f>LEFT(RIGHT(Table1[[#This Row],[Item]],6),1)</f>
        <v>Y</v>
      </c>
      <c r="K571" s="1" t="str">
        <f t="shared" si="9"/>
        <v>Y</v>
      </c>
      <c r="L571" s="1" t="str">
        <f>RIGHT(Table1[[#This Row],[Item]],2)</f>
        <v>BR</v>
      </c>
      <c r="M571" s="1" t="s">
        <v>33</v>
      </c>
      <c r="N571" s="3" t="s">
        <v>519</v>
      </c>
      <c r="O571" s="1"/>
    </row>
    <row r="572" spans="1:15" ht="15" customHeight="1">
      <c r="A572" t="s">
        <v>592</v>
      </c>
      <c r="B572" s="1" t="str">
        <f>LEFT(Table1[[#This Row],[Item]], FIND("-", Table1[[#This Row],[Item]]) - 1)</f>
        <v>MA12</v>
      </c>
      <c r="C572" s="1" t="str">
        <f>MID(LEFT(Table1[[#This Row],[Item]], FIND("{token}", SUBSTITUTE(Table1[[#This Row],[Item]], "-", "{token}", 2)) - 1), FIND("-", Table1[[#This Row],[Item]]) + 1, LEN(Table1[[#This Row],[Item]]))</f>
        <v>N</v>
      </c>
      <c r="D57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7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72" s="1" cm="1">
        <f t="array" ref="F572">VALUE(INDEX(_xlfn.TEXTSPLIT(Table1[[#This Row],[Item]], "-"), 5))</f>
        <v>2</v>
      </c>
      <c r="G572" s="1" cm="1">
        <f t="array" ref="G572">VALUE(INDEX(_xlfn.TEXTSPLIT(Table1[[#This Row],[Item]], "-"), 6))</f>
        <v>0</v>
      </c>
      <c r="H572" s="1" cm="1">
        <f t="array" ref="H572">VALUE(INDEX(_xlfn.TEXTSPLIT(Table1[[#This Row],[Item]], "-"), 7))</f>
        <v>0</v>
      </c>
      <c r="I572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72" s="1" t="str">
        <f>LEFT(RIGHT(Table1[[#This Row],[Item]],6),1)</f>
        <v>Y</v>
      </c>
      <c r="K572" s="1" t="str">
        <f t="shared" si="9"/>
        <v>Y</v>
      </c>
      <c r="L572" s="1" t="str">
        <f>RIGHT(Table1[[#This Row],[Item]],2)</f>
        <v>BR</v>
      </c>
      <c r="M572" s="1" t="s">
        <v>33</v>
      </c>
      <c r="N572" s="3" t="s">
        <v>529</v>
      </c>
      <c r="O572" s="1"/>
    </row>
    <row r="573" spans="1:15" ht="15" customHeight="1">
      <c r="A573" t="s">
        <v>593</v>
      </c>
      <c r="B573" s="1" t="str">
        <f>LEFT(Table1[[#This Row],[Item]], FIND("-", Table1[[#This Row],[Item]]) - 1)</f>
        <v>MA12</v>
      </c>
      <c r="C573" s="1" t="str">
        <f>MID(LEFT(Table1[[#This Row],[Item]], FIND("{token}", SUBSTITUTE(Table1[[#This Row],[Item]], "-", "{token}", 2)) - 1), FIND("-", Table1[[#This Row],[Item]]) + 1, LEN(Table1[[#This Row],[Item]]))</f>
        <v>D</v>
      </c>
      <c r="D57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57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573" s="1" cm="1">
        <f t="array" ref="F573">VALUE(INDEX(_xlfn.TEXTSPLIT(Table1[[#This Row],[Item]], "-"), 5))</f>
        <v>0</v>
      </c>
      <c r="G573" s="1" cm="1">
        <f t="array" ref="G573">VALUE(INDEX(_xlfn.TEXTSPLIT(Table1[[#This Row],[Item]], "-"), 6))</f>
        <v>1</v>
      </c>
      <c r="H573" s="1" cm="1">
        <f t="array" ref="H573">VALUE(INDEX(_xlfn.TEXTSPLIT(Table1[[#This Row],[Item]], "-"), 7))</f>
        <v>0</v>
      </c>
      <c r="I573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73" s="1" t="str">
        <f>LEFT(RIGHT(Table1[[#This Row],[Item]],6),1)</f>
        <v>Y</v>
      </c>
      <c r="K573" s="1" t="str">
        <f t="shared" si="9"/>
        <v>Y</v>
      </c>
      <c r="L573" s="1" t="str">
        <f>RIGHT(Table1[[#This Row],[Item]],2)</f>
        <v>BR</v>
      </c>
      <c r="M573" s="1" t="s">
        <v>33</v>
      </c>
      <c r="N573" s="3" t="s">
        <v>531</v>
      </c>
      <c r="O573" s="1"/>
    </row>
    <row r="574" spans="1:15" ht="15" customHeight="1">
      <c r="A574" t="s">
        <v>594</v>
      </c>
      <c r="B574" s="1" t="str">
        <f>LEFT(Table1[[#This Row],[Item]], FIND("-", Table1[[#This Row],[Item]]) - 1)</f>
        <v>STC8</v>
      </c>
      <c r="C574" s="1" t="str">
        <f>MID(LEFT(Table1[[#This Row],[Item]], FIND("{token}", SUBSTITUTE(Table1[[#This Row],[Item]], "-", "{token}", 2)) - 1), FIND("-", Table1[[#This Row],[Item]]) + 1, LEN(Table1[[#This Row],[Item]]))</f>
        <v>N</v>
      </c>
      <c r="D57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7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74" s="1" cm="1">
        <f t="array" ref="F574">VALUE(INDEX(_xlfn.TEXTSPLIT(Table1[[#This Row],[Item]], "-"), 5))</f>
        <v>1</v>
      </c>
      <c r="G574" s="1" cm="1">
        <f t="array" ref="G574">VALUE(INDEX(_xlfn.TEXTSPLIT(Table1[[#This Row],[Item]], "-"), 6))</f>
        <v>0</v>
      </c>
      <c r="H574" s="1" cm="1">
        <f t="array" ref="H574">VALUE(INDEX(_xlfn.TEXTSPLIT(Table1[[#This Row],[Item]], "-"), 7))</f>
        <v>0</v>
      </c>
      <c r="I574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74" s="1" t="str">
        <f>LEFT(RIGHT(Table1[[#This Row],[Item]],6),1)</f>
        <v>Y</v>
      </c>
      <c r="K574" s="1" t="str">
        <f t="shared" si="9"/>
        <v>N</v>
      </c>
      <c r="L574" s="1" t="str">
        <f>RIGHT(Table1[[#This Row],[Item]],2)</f>
        <v>BR</v>
      </c>
      <c r="M574" s="1" t="s">
        <v>33</v>
      </c>
      <c r="N574" s="3" t="s">
        <v>539</v>
      </c>
      <c r="O574" s="1"/>
    </row>
    <row r="575" spans="1:15" ht="15" customHeight="1">
      <c r="A575" t="s">
        <v>595</v>
      </c>
      <c r="B575" s="1" t="str">
        <f>LEFT(Table1[[#This Row],[Item]], FIND("-", Table1[[#This Row],[Item]]) - 1)</f>
        <v>STT7</v>
      </c>
      <c r="C575" s="1" t="str">
        <f>MID(LEFT(Table1[[#This Row],[Item]], FIND("{token}", SUBSTITUTE(Table1[[#This Row],[Item]], "-", "{token}", 2)) - 1), FIND("-", Table1[[#This Row],[Item]]) + 1, LEN(Table1[[#This Row],[Item]]))</f>
        <v>N</v>
      </c>
      <c r="D57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7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75" s="1" cm="1">
        <f t="array" ref="F575">VALUE(INDEX(_xlfn.TEXTSPLIT(Table1[[#This Row],[Item]], "-"), 5))</f>
        <v>0</v>
      </c>
      <c r="G575" s="1" cm="1">
        <f t="array" ref="G575">VALUE(INDEX(_xlfn.TEXTSPLIT(Table1[[#This Row],[Item]], "-"), 6))</f>
        <v>0</v>
      </c>
      <c r="H575" s="1" cm="1">
        <f t="array" ref="H575">VALUE(INDEX(_xlfn.TEXTSPLIT(Table1[[#This Row],[Item]], "-"), 7))</f>
        <v>0</v>
      </c>
      <c r="I57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75" s="1" t="str">
        <f>LEFT(RIGHT(Table1[[#This Row],[Item]],6),1)</f>
        <v>N</v>
      </c>
      <c r="K575" s="1" t="str">
        <f t="shared" si="9"/>
        <v>N</v>
      </c>
      <c r="L575" s="1" t="str">
        <f>RIGHT(Table1[[#This Row],[Item]],2)</f>
        <v>BR</v>
      </c>
      <c r="M575" s="1" t="s">
        <v>33</v>
      </c>
      <c r="N575" s="3" t="s">
        <v>595</v>
      </c>
      <c r="O575" s="1"/>
    </row>
    <row r="576" spans="1:15" ht="15" customHeight="1">
      <c r="A576" t="s">
        <v>596</v>
      </c>
      <c r="B576" s="1" t="str">
        <f>LEFT(Table1[[#This Row],[Item]], FIND("-", Table1[[#This Row],[Item]]) - 1)</f>
        <v>GX12</v>
      </c>
      <c r="C576" s="1" t="str">
        <f>MID(LEFT(Table1[[#This Row],[Item]], FIND("{token}", SUBSTITUTE(Table1[[#This Row],[Item]], "-", "{token}", 2)) - 1), FIND("-", Table1[[#This Row],[Item]]) + 1, LEN(Table1[[#This Row],[Item]]))</f>
        <v>DXL</v>
      </c>
      <c r="D57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7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76" s="1" cm="1">
        <f t="array" ref="F576">VALUE(INDEX(_xlfn.TEXTSPLIT(Table1[[#This Row],[Item]], "-"), 5))</f>
        <v>1</v>
      </c>
      <c r="G576" s="1" cm="1">
        <f t="array" ref="G576">VALUE(INDEX(_xlfn.TEXTSPLIT(Table1[[#This Row],[Item]], "-"), 6))</f>
        <v>2</v>
      </c>
      <c r="H576" s="1" cm="1">
        <f t="array" ref="H576">VALUE(INDEX(_xlfn.TEXTSPLIT(Table1[[#This Row],[Item]], "-"), 7))</f>
        <v>1</v>
      </c>
      <c r="I57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76" s="1" t="str">
        <f>LEFT(RIGHT(Table1[[#This Row],[Item]],6),1)</f>
        <v>N</v>
      </c>
      <c r="K576" s="1" t="str">
        <f t="shared" si="9"/>
        <v>N</v>
      </c>
      <c r="L576" s="1" t="str">
        <f>RIGHT(Table1[[#This Row],[Item]],2)</f>
        <v>BR</v>
      </c>
      <c r="M576" s="1" t="s">
        <v>33</v>
      </c>
      <c r="N576" s="3" t="s">
        <v>596</v>
      </c>
      <c r="O576" s="1"/>
    </row>
    <row r="577" spans="1:15" ht="15" customHeight="1">
      <c r="A577" t="s">
        <v>597</v>
      </c>
      <c r="B577" s="1" t="str">
        <f>LEFT(Table1[[#This Row],[Item]], FIND("-", Table1[[#This Row],[Item]]) - 1)</f>
        <v>ARB8</v>
      </c>
      <c r="C577" s="1" t="str">
        <f>MID(LEFT(Table1[[#This Row],[Item]], FIND("{token}", SUBSTITUTE(Table1[[#This Row],[Item]], "-", "{token}", 2)) - 1), FIND("-", Table1[[#This Row],[Item]]) + 1, LEN(Table1[[#This Row],[Item]]))</f>
        <v>L</v>
      </c>
      <c r="D577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57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77" s="1" cm="1">
        <f t="array" ref="F577">VALUE(INDEX(_xlfn.TEXTSPLIT(Table1[[#This Row],[Item]], "-"), 5))</f>
        <v>1</v>
      </c>
      <c r="G577" s="1" cm="1">
        <f t="array" ref="G577">VALUE(INDEX(_xlfn.TEXTSPLIT(Table1[[#This Row],[Item]], "-"), 6))</f>
        <v>0</v>
      </c>
      <c r="H577" s="1" cm="1">
        <f t="array" ref="H577">VALUE(INDEX(_xlfn.TEXTSPLIT(Table1[[#This Row],[Item]], "-"), 7))</f>
        <v>1</v>
      </c>
      <c r="I577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577" s="1" t="str">
        <f>LEFT(RIGHT(Table1[[#This Row],[Item]],6),1)</f>
        <v>Y</v>
      </c>
      <c r="K577" s="1" t="str">
        <f t="shared" si="9"/>
        <v>Y</v>
      </c>
      <c r="L577" s="1" t="str">
        <f>RIGHT(Table1[[#This Row],[Item]],2)</f>
        <v>BR</v>
      </c>
      <c r="M577" s="1" t="s">
        <v>33</v>
      </c>
      <c r="N577" s="3" t="s">
        <v>597</v>
      </c>
      <c r="O577" s="1"/>
    </row>
    <row r="578" spans="1:15" ht="15" customHeight="1">
      <c r="A578" t="s">
        <v>598</v>
      </c>
      <c r="B578" s="1" t="str">
        <f>LEFT(Table1[[#This Row],[Item]], FIND("-", Table1[[#This Row],[Item]]) - 1)</f>
        <v>GX14</v>
      </c>
      <c r="C578" s="1" t="str">
        <f>MID(LEFT(Table1[[#This Row],[Item]], FIND("{token}", SUBSTITUTE(Table1[[#This Row],[Item]], "-", "{token}", 2)) - 1), FIND("-", Table1[[#This Row],[Item]]) + 1, LEN(Table1[[#This Row],[Item]]))</f>
        <v>DXL</v>
      </c>
      <c r="D57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7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578" s="1" cm="1">
        <f t="array" ref="F578">VALUE(INDEX(_xlfn.TEXTSPLIT(Table1[[#This Row],[Item]], "-"), 5))</f>
        <v>2</v>
      </c>
      <c r="G578" s="1" cm="1">
        <f t="array" ref="G578">VALUE(INDEX(_xlfn.TEXTSPLIT(Table1[[#This Row],[Item]], "-"), 6))</f>
        <v>2</v>
      </c>
      <c r="H578" s="1" cm="1">
        <f t="array" ref="H578">VALUE(INDEX(_xlfn.TEXTSPLIT(Table1[[#This Row],[Item]], "-"), 7))</f>
        <v>0</v>
      </c>
      <c r="I57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78" s="1" t="str">
        <f>LEFT(RIGHT(Table1[[#This Row],[Item]],6),1)</f>
        <v>N</v>
      </c>
      <c r="K578" s="1" t="str">
        <f t="shared" si="9"/>
        <v>N</v>
      </c>
      <c r="L578" s="1" t="str">
        <f>RIGHT(Table1[[#This Row],[Item]],2)</f>
        <v>BR</v>
      </c>
      <c r="M578" s="1" t="s">
        <v>33</v>
      </c>
      <c r="N578" s="3" t="s">
        <v>598</v>
      </c>
      <c r="O578" s="1"/>
    </row>
    <row r="579" spans="1:15" ht="15" customHeight="1">
      <c r="A579" t="s">
        <v>599</v>
      </c>
      <c r="B579" s="1" t="str">
        <f>LEFT(Table1[[#This Row],[Item]], FIND("-", Table1[[#This Row],[Item]]) - 1)</f>
        <v>GX08</v>
      </c>
      <c r="C579" s="1" t="str">
        <f>MID(LEFT(Table1[[#This Row],[Item]], FIND("{token}", SUBSTITUTE(Table1[[#This Row],[Item]], "-", "{token}", 2)) - 1), FIND("-", Table1[[#This Row],[Item]]) + 1, LEN(Table1[[#This Row],[Item]]))</f>
        <v>C</v>
      </c>
      <c r="D57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7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79" s="1" cm="1">
        <f t="array" ref="F579">VALUE(INDEX(_xlfn.TEXTSPLIT(Table1[[#This Row],[Item]], "-"), 5))</f>
        <v>0</v>
      </c>
      <c r="G579" s="1" cm="1">
        <f t="array" ref="G579">VALUE(INDEX(_xlfn.TEXTSPLIT(Table1[[#This Row],[Item]], "-"), 6))</f>
        <v>1</v>
      </c>
      <c r="H579" s="1" cm="1">
        <f t="array" ref="H579">VALUE(INDEX(_xlfn.TEXTSPLIT(Table1[[#This Row],[Item]], "-"), 7))</f>
        <v>0</v>
      </c>
      <c r="I57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79" s="1" t="str">
        <f>LEFT(RIGHT(Table1[[#This Row],[Item]],6),1)</f>
        <v>N</v>
      </c>
      <c r="K579" s="1" t="str">
        <f t="shared" si="9"/>
        <v>N</v>
      </c>
      <c r="L579" s="1" t="str">
        <f>RIGHT(Table1[[#This Row],[Item]],2)</f>
        <v>BR</v>
      </c>
      <c r="M579" s="1" t="s">
        <v>33</v>
      </c>
      <c r="N579" s="3" t="s">
        <v>599</v>
      </c>
      <c r="O579" s="1"/>
    </row>
    <row r="580" spans="1:15" ht="15" customHeight="1">
      <c r="A580" t="s">
        <v>600</v>
      </c>
      <c r="B580" s="1" t="str">
        <f>LEFT(Table1[[#This Row],[Item]], FIND("-", Table1[[#This Row],[Item]]) - 1)</f>
        <v>GX14</v>
      </c>
      <c r="C580" s="1" t="str">
        <f>MID(LEFT(Table1[[#This Row],[Item]], FIND("{token}", SUBSTITUTE(Table1[[#This Row],[Item]], "-", "{token}", 2)) - 1), FIND("-", Table1[[#This Row],[Item]]) + 1, LEN(Table1[[#This Row],[Item]]))</f>
        <v>D</v>
      </c>
      <c r="D58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8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580" s="1" cm="1">
        <f t="array" ref="F580">VALUE(INDEX(_xlfn.TEXTSPLIT(Table1[[#This Row],[Item]], "-"), 5))</f>
        <v>2</v>
      </c>
      <c r="G580" s="1" cm="1">
        <f t="array" ref="G580">VALUE(INDEX(_xlfn.TEXTSPLIT(Table1[[#This Row],[Item]], "-"), 6))</f>
        <v>2</v>
      </c>
      <c r="H580" s="1" cm="1">
        <f t="array" ref="H580">VALUE(INDEX(_xlfn.TEXTSPLIT(Table1[[#This Row],[Item]], "-"), 7))</f>
        <v>0</v>
      </c>
      <c r="I58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80" s="1" t="str">
        <f>LEFT(RIGHT(Table1[[#This Row],[Item]],6),1)</f>
        <v>N</v>
      </c>
      <c r="K580" s="1" t="str">
        <f t="shared" si="9"/>
        <v>N</v>
      </c>
      <c r="L580" s="1" t="str">
        <f>RIGHT(Table1[[#This Row],[Item]],2)</f>
        <v>BR</v>
      </c>
      <c r="M580" s="1" t="s">
        <v>33</v>
      </c>
      <c r="N580" s="3" t="s">
        <v>600</v>
      </c>
      <c r="O580" s="1"/>
    </row>
    <row r="581" spans="1:15" ht="15" customHeight="1">
      <c r="A581" t="s">
        <v>601</v>
      </c>
      <c r="B581" s="1" t="str">
        <f>LEFT(Table1[[#This Row],[Item]], FIND("-", Table1[[#This Row],[Item]]) - 1)</f>
        <v>MA12</v>
      </c>
      <c r="C581" s="1" t="str">
        <f>MID(LEFT(Table1[[#This Row],[Item]], FIND("{token}", SUBSTITUTE(Table1[[#This Row],[Item]], "-", "{token}", 2)) - 1), FIND("-", Table1[[#This Row],[Item]]) + 1, LEN(Table1[[#This Row],[Item]]))</f>
        <v>D</v>
      </c>
      <c r="D58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58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81" s="1" cm="1">
        <f t="array" ref="F581">VALUE(INDEX(_xlfn.TEXTSPLIT(Table1[[#This Row],[Item]], "-"), 5))</f>
        <v>0</v>
      </c>
      <c r="G581" s="1" cm="1">
        <f t="array" ref="G581">VALUE(INDEX(_xlfn.TEXTSPLIT(Table1[[#This Row],[Item]], "-"), 6))</f>
        <v>0</v>
      </c>
      <c r="H581" s="1" cm="1">
        <f t="array" ref="H581">VALUE(INDEX(_xlfn.TEXTSPLIT(Table1[[#This Row],[Item]], "-"), 7))</f>
        <v>1</v>
      </c>
      <c r="I581" s="1" t="str">
        <f>MID(LEFT(Table1[[#This Row],[Item]], FIND("{token}", SUBSTITUTE(Table1[[#This Row],[Item]], "-", "{token}", 8)) - 1), FIND("{token}", SUBSTITUTE(Table1[[#This Row],[Item]], "-", "{token}", 7)) + 1, LEN(Table1[[#This Row],[Item]]))</f>
        <v>SPO</v>
      </c>
      <c r="J581" s="1" t="str">
        <f>LEFT(RIGHT(Table1[[#This Row],[Item]],6),1)</f>
        <v>Y</v>
      </c>
      <c r="K581" s="1" t="str">
        <f t="shared" si="9"/>
        <v>Y</v>
      </c>
      <c r="L581" s="1" t="str">
        <f>RIGHT(Table1[[#This Row],[Item]],2)</f>
        <v>BR</v>
      </c>
      <c r="M581" s="1" t="s">
        <v>33</v>
      </c>
      <c r="N581" s="3" t="s">
        <v>601</v>
      </c>
      <c r="O581" s="1"/>
    </row>
    <row r="582" spans="1:15" ht="15" customHeight="1">
      <c r="A582" t="s">
        <v>602</v>
      </c>
      <c r="B582" s="1" t="str">
        <f>LEFT(Table1[[#This Row],[Item]], FIND("-", Table1[[#This Row],[Item]]) - 1)</f>
        <v>ARB8</v>
      </c>
      <c r="C582" s="1" t="str">
        <f>MID(LEFT(Table1[[#This Row],[Item]], FIND("{token}", SUBSTITUTE(Table1[[#This Row],[Item]], "-", "{token}", 2)) - 1), FIND("-", Table1[[#This Row],[Item]]) + 1, LEN(Table1[[#This Row],[Item]]))</f>
        <v>L</v>
      </c>
      <c r="D582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58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82" s="1" cm="1">
        <f t="array" ref="F582">VALUE(INDEX(_xlfn.TEXTSPLIT(Table1[[#This Row],[Item]], "-"), 5))</f>
        <v>1</v>
      </c>
      <c r="G582" s="1" cm="1">
        <f t="array" ref="G582">VALUE(INDEX(_xlfn.TEXTSPLIT(Table1[[#This Row],[Item]], "-"), 6))</f>
        <v>0</v>
      </c>
      <c r="H582" s="1" cm="1">
        <f t="array" ref="H582">VALUE(INDEX(_xlfn.TEXTSPLIT(Table1[[#This Row],[Item]], "-"), 7))</f>
        <v>1</v>
      </c>
      <c r="I582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582" s="1" t="str">
        <f>LEFT(RIGHT(Table1[[#This Row],[Item]],6),1)</f>
        <v>Y</v>
      </c>
      <c r="K582" s="1" t="str">
        <f t="shared" si="9"/>
        <v>N</v>
      </c>
      <c r="L582" s="1" t="str">
        <f>RIGHT(Table1[[#This Row],[Item]],2)</f>
        <v>BR</v>
      </c>
      <c r="M582" s="1" t="s">
        <v>33</v>
      </c>
      <c r="N582" s="3" t="s">
        <v>602</v>
      </c>
      <c r="O582" s="1"/>
    </row>
    <row r="583" spans="1:15" ht="15" customHeight="1">
      <c r="A583" t="s">
        <v>603</v>
      </c>
      <c r="B583" s="1" t="str">
        <f>LEFT(Table1[[#This Row],[Item]], FIND("-", Table1[[#This Row],[Item]]) - 1)</f>
        <v>GX06</v>
      </c>
      <c r="C583" s="1" t="str">
        <f>MID(LEFT(Table1[[#This Row],[Item]], FIND("{token}", SUBSTITUTE(Table1[[#This Row],[Item]], "-", "{token}", 2)) - 1), FIND("-", Table1[[#This Row],[Item]]) + 1, LEN(Table1[[#This Row],[Item]]))</f>
        <v>RXL</v>
      </c>
      <c r="D58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8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83" s="1" cm="1">
        <f t="array" ref="F583">VALUE(INDEX(_xlfn.TEXTSPLIT(Table1[[#This Row],[Item]], "-"), 5))</f>
        <v>1</v>
      </c>
      <c r="G583" s="1" cm="1">
        <f t="array" ref="G583">VALUE(INDEX(_xlfn.TEXTSPLIT(Table1[[#This Row],[Item]], "-"), 6))</f>
        <v>1</v>
      </c>
      <c r="H583" s="1" cm="1">
        <f t="array" ref="H583">VALUE(INDEX(_xlfn.TEXTSPLIT(Table1[[#This Row],[Item]], "-"), 7))</f>
        <v>0</v>
      </c>
      <c r="I58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83" s="1" t="str">
        <f>LEFT(RIGHT(Table1[[#This Row],[Item]],6),1)</f>
        <v>N</v>
      </c>
      <c r="K583" s="1" t="str">
        <f t="shared" si="9"/>
        <v>N</v>
      </c>
      <c r="L583" s="1" t="str">
        <f>RIGHT(Table1[[#This Row],[Item]],2)</f>
        <v>BR</v>
      </c>
      <c r="M583" s="1" t="s">
        <v>33</v>
      </c>
      <c r="N583" s="3" t="s">
        <v>603</v>
      </c>
      <c r="O583" s="1"/>
    </row>
    <row r="584" spans="1:15" ht="15" customHeight="1">
      <c r="A584" t="s">
        <v>604</v>
      </c>
      <c r="B584" s="1" t="str">
        <f>LEFT(Table1[[#This Row],[Item]], FIND("-", Table1[[#This Row],[Item]]) - 1)</f>
        <v>GX12</v>
      </c>
      <c r="C584" s="1" t="str">
        <f>MID(LEFT(Table1[[#This Row],[Item]], FIND("{token}", SUBSTITUTE(Table1[[#This Row],[Item]], "-", "{token}", 2)) - 1), FIND("-", Table1[[#This Row],[Item]]) + 1, LEN(Table1[[#This Row],[Item]]))</f>
        <v>RXL</v>
      </c>
      <c r="D584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58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84" s="1" cm="1">
        <f t="array" ref="F584">VALUE(INDEX(_xlfn.TEXTSPLIT(Table1[[#This Row],[Item]], "-"), 5))</f>
        <v>1</v>
      </c>
      <c r="G584" s="1" cm="1">
        <f t="array" ref="G584">VALUE(INDEX(_xlfn.TEXTSPLIT(Table1[[#This Row],[Item]], "-"), 6))</f>
        <v>2</v>
      </c>
      <c r="H584" s="1" cm="1">
        <f t="array" ref="H584">VALUE(INDEX(_xlfn.TEXTSPLIT(Table1[[#This Row],[Item]], "-"), 7))</f>
        <v>0</v>
      </c>
      <c r="I58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84" s="1" t="str">
        <f>LEFT(RIGHT(Table1[[#This Row],[Item]],6),1)</f>
        <v>N</v>
      </c>
      <c r="K584" s="1" t="str">
        <f t="shared" si="9"/>
        <v>N</v>
      </c>
      <c r="L584" s="1" t="str">
        <f>RIGHT(Table1[[#This Row],[Item]],2)</f>
        <v>BR</v>
      </c>
      <c r="M584" s="1" t="s">
        <v>33</v>
      </c>
      <c r="N584" s="3" t="s">
        <v>604</v>
      </c>
      <c r="O584" s="1"/>
    </row>
    <row r="585" spans="1:15" ht="15" customHeight="1">
      <c r="A585" t="s">
        <v>605</v>
      </c>
      <c r="B585" s="1" t="str">
        <f>LEFT(Table1[[#This Row],[Item]], FIND("-", Table1[[#This Row],[Item]]) - 1)</f>
        <v>GX08</v>
      </c>
      <c r="C585" s="1" t="str">
        <f>MID(LEFT(Table1[[#This Row],[Item]], FIND("{token}", SUBSTITUTE(Table1[[#This Row],[Item]], "-", "{token}", 2)) - 1), FIND("-", Table1[[#This Row],[Item]]) + 1, LEN(Table1[[#This Row],[Item]]))</f>
        <v>N</v>
      </c>
      <c r="D58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8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85" s="1" cm="1">
        <f t="array" ref="F585">VALUE(INDEX(_xlfn.TEXTSPLIT(Table1[[#This Row],[Item]], "-"), 5))</f>
        <v>1</v>
      </c>
      <c r="G585" s="1" cm="1">
        <f t="array" ref="G585">VALUE(INDEX(_xlfn.TEXTSPLIT(Table1[[#This Row],[Item]], "-"), 6))</f>
        <v>1</v>
      </c>
      <c r="H585" s="1" cm="1">
        <f t="array" ref="H585">VALUE(INDEX(_xlfn.TEXTSPLIT(Table1[[#This Row],[Item]], "-"), 7))</f>
        <v>0</v>
      </c>
      <c r="I58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85" s="1" t="str">
        <f>LEFT(RIGHT(Table1[[#This Row],[Item]],6),1)</f>
        <v>N</v>
      </c>
      <c r="K585" s="1" t="str">
        <f t="shared" si="9"/>
        <v>N</v>
      </c>
      <c r="L585" s="1" t="str">
        <f>RIGHT(Table1[[#This Row],[Item]],2)</f>
        <v>BR</v>
      </c>
      <c r="M585" s="1" t="s">
        <v>33</v>
      </c>
      <c r="N585" s="3" t="s">
        <v>605</v>
      </c>
      <c r="O585" s="1"/>
    </row>
    <row r="586" spans="1:15" ht="15" customHeight="1">
      <c r="A586" t="s">
        <v>606</v>
      </c>
      <c r="B586" s="1" t="str">
        <f>LEFT(Table1[[#This Row],[Item]], FIND("-", Table1[[#This Row],[Item]]) - 1)</f>
        <v>GX08</v>
      </c>
      <c r="C586" s="1" t="str">
        <f>MID(LEFT(Table1[[#This Row],[Item]], FIND("{token}", SUBSTITUTE(Table1[[#This Row],[Item]], "-", "{token}", 2)) - 1), FIND("-", Table1[[#This Row],[Item]]) + 1, LEN(Table1[[#This Row],[Item]]))</f>
        <v>LXL</v>
      </c>
      <c r="D586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58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86" s="1" cm="1">
        <f t="array" ref="F586">VALUE(INDEX(_xlfn.TEXTSPLIT(Table1[[#This Row],[Item]], "-"), 5))</f>
        <v>1</v>
      </c>
      <c r="G586" s="1" cm="1">
        <f t="array" ref="G586">VALUE(INDEX(_xlfn.TEXTSPLIT(Table1[[#This Row],[Item]], "-"), 6))</f>
        <v>1</v>
      </c>
      <c r="H586" s="1" cm="1">
        <f t="array" ref="H586">VALUE(INDEX(_xlfn.TEXTSPLIT(Table1[[#This Row],[Item]], "-"), 7))</f>
        <v>0</v>
      </c>
      <c r="I58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86" s="1" t="str">
        <f>LEFT(RIGHT(Table1[[#This Row],[Item]],6),1)</f>
        <v>N</v>
      </c>
      <c r="K586" s="1" t="str">
        <f t="shared" si="9"/>
        <v>N</v>
      </c>
      <c r="L586" s="1" t="str">
        <f>RIGHT(Table1[[#This Row],[Item]],2)</f>
        <v>BR</v>
      </c>
      <c r="M586" s="1" t="s">
        <v>33</v>
      </c>
      <c r="N586" s="3" t="s">
        <v>606</v>
      </c>
      <c r="O586" s="1"/>
    </row>
    <row r="587" spans="1:15" ht="15" customHeight="1">
      <c r="A587" t="s">
        <v>607</v>
      </c>
      <c r="B587" s="1" t="str">
        <f>LEFT(Table1[[#This Row],[Item]], FIND("-", Table1[[#This Row],[Item]]) - 1)</f>
        <v>GX05</v>
      </c>
      <c r="C587" s="1" t="str">
        <f>MID(LEFT(Table1[[#This Row],[Item]], FIND("{token}", SUBSTITUTE(Table1[[#This Row],[Item]], "-", "{token}", 2)) - 1), FIND("-", Table1[[#This Row],[Item]]) + 1, LEN(Table1[[#This Row],[Item]]))</f>
        <v>R</v>
      </c>
      <c r="D58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8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87" s="1" cm="1">
        <f t="array" ref="F587">VALUE(INDEX(_xlfn.TEXTSPLIT(Table1[[#This Row],[Item]], "-"), 5))</f>
        <v>0</v>
      </c>
      <c r="G587" s="1" cm="1">
        <f t="array" ref="G587">VALUE(INDEX(_xlfn.TEXTSPLIT(Table1[[#This Row],[Item]], "-"), 6))</f>
        <v>0</v>
      </c>
      <c r="H587" s="1" cm="1">
        <f t="array" ref="H587">VALUE(INDEX(_xlfn.TEXTSPLIT(Table1[[#This Row],[Item]], "-"), 7))</f>
        <v>0</v>
      </c>
      <c r="I58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87" s="1" t="str">
        <f>LEFT(RIGHT(Table1[[#This Row],[Item]],6),1)</f>
        <v>N</v>
      </c>
      <c r="K587" s="1" t="str">
        <f t="shared" si="9"/>
        <v>N</v>
      </c>
      <c r="L587" s="1" t="str">
        <f>RIGHT(Table1[[#This Row],[Item]],2)</f>
        <v>BR</v>
      </c>
      <c r="M587" s="1" t="s">
        <v>33</v>
      </c>
      <c r="N587" s="3" t="s">
        <v>607</v>
      </c>
      <c r="O587" s="1"/>
    </row>
    <row r="588" spans="1:15" ht="15" customHeight="1">
      <c r="A588" t="s">
        <v>608</v>
      </c>
      <c r="B588" s="1" t="str">
        <f>LEFT(Table1[[#This Row],[Item]], FIND("-", Table1[[#This Row],[Item]]) - 1)</f>
        <v>GX10</v>
      </c>
      <c r="C588" s="1" t="str">
        <f>MID(LEFT(Table1[[#This Row],[Item]], FIND("{token}", SUBSTITUTE(Table1[[#This Row],[Item]], "-", "{token}", 2)) - 1), FIND("-", Table1[[#This Row],[Item]]) + 1, LEN(Table1[[#This Row],[Item]]))</f>
        <v>D</v>
      </c>
      <c r="D58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58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D2</v>
      </c>
      <c r="F588" s="1" cm="1">
        <f t="array" ref="F588">VALUE(INDEX(_xlfn.TEXTSPLIT(Table1[[#This Row],[Item]], "-"), 5))</f>
        <v>1</v>
      </c>
      <c r="G588" s="1" cm="1">
        <f t="array" ref="G588">VALUE(INDEX(_xlfn.TEXTSPLIT(Table1[[#This Row],[Item]], "-"), 6))</f>
        <v>1</v>
      </c>
      <c r="H588" s="1" cm="1">
        <f t="array" ref="H588">VALUE(INDEX(_xlfn.TEXTSPLIT(Table1[[#This Row],[Item]], "-"), 7))</f>
        <v>0</v>
      </c>
      <c r="I58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88" s="1" t="str">
        <f>LEFT(RIGHT(Table1[[#This Row],[Item]],6),1)</f>
        <v>N</v>
      </c>
      <c r="K588" s="1" t="str">
        <f t="shared" si="9"/>
        <v>N</v>
      </c>
      <c r="L588" s="1" t="str">
        <f>RIGHT(Table1[[#This Row],[Item]],2)</f>
        <v>BR</v>
      </c>
      <c r="M588" s="1" t="s">
        <v>33</v>
      </c>
      <c r="N588" s="3" t="s">
        <v>608</v>
      </c>
      <c r="O588" s="1"/>
    </row>
    <row r="589" spans="1:15" ht="15" customHeight="1">
      <c r="A589" t="s">
        <v>609</v>
      </c>
      <c r="B589" s="1" t="str">
        <f>LEFT(Table1[[#This Row],[Item]], FIND("-", Table1[[#This Row],[Item]]) - 1)</f>
        <v>GX08</v>
      </c>
      <c r="C589" s="1" t="str">
        <f>MID(LEFT(Table1[[#This Row],[Item]], FIND("{token}", SUBSTITUTE(Table1[[#This Row],[Item]], "-", "{token}", 2)) - 1), FIND("-", Table1[[#This Row],[Item]]) + 1, LEN(Table1[[#This Row],[Item]]))</f>
        <v>RXL</v>
      </c>
      <c r="D58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8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589" s="1" cm="1">
        <f t="array" ref="F589">VALUE(INDEX(_xlfn.TEXTSPLIT(Table1[[#This Row],[Item]], "-"), 5))</f>
        <v>1</v>
      </c>
      <c r="G589" s="1" cm="1">
        <f t="array" ref="G589">VALUE(INDEX(_xlfn.TEXTSPLIT(Table1[[#This Row],[Item]], "-"), 6))</f>
        <v>1</v>
      </c>
      <c r="H589" s="1" cm="1">
        <f t="array" ref="H589">VALUE(INDEX(_xlfn.TEXTSPLIT(Table1[[#This Row],[Item]], "-"), 7))</f>
        <v>0</v>
      </c>
      <c r="I58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89" s="1" t="str">
        <f>LEFT(RIGHT(Table1[[#This Row],[Item]],6),1)</f>
        <v>N</v>
      </c>
      <c r="K589" s="1" t="str">
        <f t="shared" si="9"/>
        <v>N</v>
      </c>
      <c r="L589" s="1" t="str">
        <f>RIGHT(Table1[[#This Row],[Item]],2)</f>
        <v>BR</v>
      </c>
      <c r="M589" s="1" t="s">
        <v>33</v>
      </c>
      <c r="N589" s="3" t="s">
        <v>609</v>
      </c>
      <c r="O589" s="1"/>
    </row>
    <row r="590" spans="1:15" ht="15" customHeight="1">
      <c r="A590" t="s">
        <v>610</v>
      </c>
      <c r="B590" s="1" t="str">
        <f>LEFT(Table1[[#This Row],[Item]], FIND("-", Table1[[#This Row],[Item]]) - 1)</f>
        <v>STT7</v>
      </c>
      <c r="C590" s="1" t="str">
        <f>MID(LEFT(Table1[[#This Row],[Item]], FIND("{token}", SUBSTITUTE(Table1[[#This Row],[Item]], "-", "{token}", 2)) - 1), FIND("-", Table1[[#This Row],[Item]]) + 1, LEN(Table1[[#This Row],[Item]]))</f>
        <v>N</v>
      </c>
      <c r="D59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9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90" s="1" cm="1">
        <f t="array" ref="F590">VALUE(INDEX(_xlfn.TEXTSPLIT(Table1[[#This Row],[Item]], "-"), 5))</f>
        <v>0</v>
      </c>
      <c r="G590" s="1" cm="1">
        <f t="array" ref="G590">VALUE(INDEX(_xlfn.TEXTSPLIT(Table1[[#This Row],[Item]], "-"), 6))</f>
        <v>0</v>
      </c>
      <c r="H590" s="1" cm="1">
        <f t="array" ref="H590">VALUE(INDEX(_xlfn.TEXTSPLIT(Table1[[#This Row],[Item]], "-"), 7))</f>
        <v>0</v>
      </c>
      <c r="I59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90" s="1" t="str">
        <f>LEFT(RIGHT(Table1[[#This Row],[Item]],6),1)</f>
        <v>Y</v>
      </c>
      <c r="K590" s="1" t="str">
        <f t="shared" ref="K590:K653" si="10">MID(A590, LEN(A590)-3, 1)</f>
        <v>N</v>
      </c>
      <c r="L590" s="1" t="str">
        <f>RIGHT(Table1[[#This Row],[Item]],2)</f>
        <v>BR</v>
      </c>
      <c r="M590" s="1" t="s">
        <v>33</v>
      </c>
      <c r="N590" s="3" t="s">
        <v>610</v>
      </c>
      <c r="O590" s="1"/>
    </row>
    <row r="591" spans="1:15" ht="15" customHeight="1">
      <c r="A591" t="s">
        <v>611</v>
      </c>
      <c r="B591" s="1" t="str">
        <f>LEFT(Table1[[#This Row],[Item]], FIND("-", Table1[[#This Row],[Item]]) - 1)</f>
        <v>GX10</v>
      </c>
      <c r="C591" s="1" t="str">
        <f>MID(LEFT(Table1[[#This Row],[Item]], FIND("{token}", SUBSTITUTE(Table1[[#This Row],[Item]], "-", "{token}", 2)) - 1), FIND("-", Table1[[#This Row],[Item]]) + 1, LEN(Table1[[#This Row],[Item]]))</f>
        <v>D</v>
      </c>
      <c r="D591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59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591" s="1" cm="1">
        <f t="array" ref="F591">VALUE(INDEX(_xlfn.TEXTSPLIT(Table1[[#This Row],[Item]], "-"), 5))</f>
        <v>1</v>
      </c>
      <c r="G591" s="1" cm="1">
        <f t="array" ref="G591">VALUE(INDEX(_xlfn.TEXTSPLIT(Table1[[#This Row],[Item]], "-"), 6))</f>
        <v>1</v>
      </c>
      <c r="H591" s="1" cm="1">
        <f t="array" ref="H591">VALUE(INDEX(_xlfn.TEXTSPLIT(Table1[[#This Row],[Item]], "-"), 7))</f>
        <v>0</v>
      </c>
      <c r="I59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91" s="1" t="str">
        <f>LEFT(RIGHT(Table1[[#This Row],[Item]],6),1)</f>
        <v>N</v>
      </c>
      <c r="K591" s="1" t="str">
        <f t="shared" si="10"/>
        <v>N</v>
      </c>
      <c r="L591" s="1" t="str">
        <f>RIGHT(Table1[[#This Row],[Item]],2)</f>
        <v>BR</v>
      </c>
      <c r="M591" s="1" t="s">
        <v>33</v>
      </c>
      <c r="N591" s="3" t="s">
        <v>611</v>
      </c>
      <c r="O591" s="1"/>
    </row>
    <row r="592" spans="1:15" ht="15" customHeight="1">
      <c r="A592" t="s">
        <v>612</v>
      </c>
      <c r="B592" s="1" t="str">
        <f>LEFT(Table1[[#This Row],[Item]], FIND("-", Table1[[#This Row],[Item]]) - 1)</f>
        <v>ARB8</v>
      </c>
      <c r="C592" s="1" t="str">
        <f>MID(LEFT(Table1[[#This Row],[Item]], FIND("{token}", SUBSTITUTE(Table1[[#This Row],[Item]], "-", "{token}", 2)) - 1), FIND("-", Table1[[#This Row],[Item]]) + 1, LEN(Table1[[#This Row],[Item]]))</f>
        <v>LXL</v>
      </c>
      <c r="D59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9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92" s="1" cm="1">
        <f t="array" ref="F592">VALUE(INDEX(_xlfn.TEXTSPLIT(Table1[[#This Row],[Item]], "-"), 5))</f>
        <v>1</v>
      </c>
      <c r="G592" s="1" cm="1">
        <f t="array" ref="G592">VALUE(INDEX(_xlfn.TEXTSPLIT(Table1[[#This Row],[Item]], "-"), 6))</f>
        <v>0</v>
      </c>
      <c r="H592" s="1" cm="1">
        <f t="array" ref="H592">VALUE(INDEX(_xlfn.TEXTSPLIT(Table1[[#This Row],[Item]], "-"), 7))</f>
        <v>1</v>
      </c>
      <c r="I592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592" s="1" t="str">
        <f>LEFT(RIGHT(Table1[[#This Row],[Item]],6),1)</f>
        <v>Y</v>
      </c>
      <c r="K592" s="1" t="str">
        <f t="shared" si="10"/>
        <v>Y</v>
      </c>
      <c r="L592" s="1" t="str">
        <f>RIGHT(Table1[[#This Row],[Item]],2)</f>
        <v>BR</v>
      </c>
      <c r="M592" s="1" t="s">
        <v>33</v>
      </c>
      <c r="N592" s="3" t="s">
        <v>612</v>
      </c>
      <c r="O592" s="1"/>
    </row>
    <row r="593" spans="1:15" ht="15" customHeight="1">
      <c r="A593" t="s">
        <v>613</v>
      </c>
      <c r="B593" s="1" t="str">
        <f>LEFT(Table1[[#This Row],[Item]], FIND("-", Table1[[#This Row],[Item]]) - 1)</f>
        <v>STT9</v>
      </c>
      <c r="C593" s="1" t="str">
        <f>MID(LEFT(Table1[[#This Row],[Item]], FIND("{token}", SUBSTITUTE(Table1[[#This Row],[Item]], "-", "{token}", 2)) - 1), FIND("-", Table1[[#This Row],[Item]]) + 1, LEN(Table1[[#This Row],[Item]]))</f>
        <v>N</v>
      </c>
      <c r="D59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9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93" s="1" cm="1">
        <f t="array" ref="F593">VALUE(INDEX(_xlfn.TEXTSPLIT(Table1[[#This Row],[Item]], "-"), 5))</f>
        <v>0</v>
      </c>
      <c r="G593" s="1" cm="1">
        <f t="array" ref="G593">VALUE(INDEX(_xlfn.TEXTSPLIT(Table1[[#This Row],[Item]], "-"), 6))</f>
        <v>0</v>
      </c>
      <c r="H593" s="1" cm="1">
        <f t="array" ref="H593">VALUE(INDEX(_xlfn.TEXTSPLIT(Table1[[#This Row],[Item]], "-"), 7))</f>
        <v>0</v>
      </c>
      <c r="I59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93" s="1" t="str">
        <f>LEFT(RIGHT(Table1[[#This Row],[Item]],6),1)</f>
        <v>N</v>
      </c>
      <c r="K593" s="1" t="str">
        <f t="shared" si="10"/>
        <v>Y</v>
      </c>
      <c r="L593" s="1" t="str">
        <f>RIGHT(Table1[[#This Row],[Item]],2)</f>
        <v>BR</v>
      </c>
      <c r="M593" s="1" t="s">
        <v>33</v>
      </c>
      <c r="N593" s="3" t="s">
        <v>613</v>
      </c>
      <c r="O593" s="1"/>
    </row>
    <row r="594" spans="1:15" ht="15" customHeight="1">
      <c r="A594" t="s">
        <v>614</v>
      </c>
      <c r="B594" s="1" t="str">
        <f>LEFT(Table1[[#This Row],[Item]], FIND("-", Table1[[#This Row],[Item]]) - 1)</f>
        <v>GX10</v>
      </c>
      <c r="C594" s="1" t="str">
        <f>MID(LEFT(Table1[[#This Row],[Item]], FIND("{token}", SUBSTITUTE(Table1[[#This Row],[Item]], "-", "{token}", 2)) - 1), FIND("-", Table1[[#This Row],[Item]]) + 1, LEN(Table1[[#This Row],[Item]]))</f>
        <v>CXL</v>
      </c>
      <c r="D594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59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594" s="1" cm="1">
        <f t="array" ref="F594">VALUE(INDEX(_xlfn.TEXTSPLIT(Table1[[#This Row],[Item]], "-"), 5))</f>
        <v>1</v>
      </c>
      <c r="G594" s="1" cm="1">
        <f t="array" ref="G594">VALUE(INDEX(_xlfn.TEXTSPLIT(Table1[[#This Row],[Item]], "-"), 6))</f>
        <v>1</v>
      </c>
      <c r="H594" s="1" cm="1">
        <f t="array" ref="H594">VALUE(INDEX(_xlfn.TEXTSPLIT(Table1[[#This Row],[Item]], "-"), 7))</f>
        <v>1</v>
      </c>
      <c r="I59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94" s="1" t="str">
        <f>LEFT(RIGHT(Table1[[#This Row],[Item]],6),1)</f>
        <v>N</v>
      </c>
      <c r="K594" s="1" t="str">
        <f t="shared" si="10"/>
        <v>N</v>
      </c>
      <c r="L594" s="1" t="str">
        <f>RIGHT(Table1[[#This Row],[Item]],2)</f>
        <v>BR</v>
      </c>
      <c r="M594" s="1" t="s">
        <v>33</v>
      </c>
      <c r="N594" s="3" t="s">
        <v>614</v>
      </c>
      <c r="O594" s="1"/>
    </row>
    <row r="595" spans="1:15" ht="15" customHeight="1">
      <c r="A595" t="s">
        <v>615</v>
      </c>
      <c r="B595" s="1" t="str">
        <f>LEFT(Table1[[#This Row],[Item]], FIND("-", Table1[[#This Row],[Item]]) - 1)</f>
        <v>GX14</v>
      </c>
      <c r="C595" s="1" t="str">
        <f>MID(LEFT(Table1[[#This Row],[Item]], FIND("{token}", SUBSTITUTE(Table1[[#This Row],[Item]], "-", "{token}", 2)) - 1), FIND("-", Table1[[#This Row],[Item]]) + 1, LEN(Table1[[#This Row],[Item]]))</f>
        <v>L</v>
      </c>
      <c r="D59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9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95" s="1" cm="1">
        <f t="array" ref="F595">VALUE(INDEX(_xlfn.TEXTSPLIT(Table1[[#This Row],[Item]], "-"), 5))</f>
        <v>1</v>
      </c>
      <c r="G595" s="1" cm="1">
        <f t="array" ref="G595">VALUE(INDEX(_xlfn.TEXTSPLIT(Table1[[#This Row],[Item]], "-"), 6))</f>
        <v>2</v>
      </c>
      <c r="H595" s="1" cm="1">
        <f t="array" ref="H595">VALUE(INDEX(_xlfn.TEXTSPLIT(Table1[[#This Row],[Item]], "-"), 7))</f>
        <v>0</v>
      </c>
      <c r="I59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95" s="1" t="str">
        <f>LEFT(RIGHT(Table1[[#This Row],[Item]],6),1)</f>
        <v>N</v>
      </c>
      <c r="K595" s="1" t="str">
        <f t="shared" si="10"/>
        <v>N</v>
      </c>
      <c r="L595" s="1" t="str">
        <f>RIGHT(Table1[[#This Row],[Item]],2)</f>
        <v>BR</v>
      </c>
      <c r="M595" s="1" t="s">
        <v>33</v>
      </c>
      <c r="N595" s="3" t="s">
        <v>615</v>
      </c>
      <c r="O595" s="1"/>
    </row>
    <row r="596" spans="1:15" ht="15" customHeight="1">
      <c r="A596" t="s">
        <v>616</v>
      </c>
      <c r="B596" s="1" t="str">
        <f>LEFT(Table1[[#This Row],[Item]], FIND("-", Table1[[#This Row],[Item]]) - 1)</f>
        <v>GX10</v>
      </c>
      <c r="C596" s="1" t="str">
        <f>MID(LEFT(Table1[[#This Row],[Item]], FIND("{token}", SUBSTITUTE(Table1[[#This Row],[Item]], "-", "{token}", 2)) - 1), FIND("-", Table1[[#This Row],[Item]]) + 1, LEN(Table1[[#This Row],[Item]]))</f>
        <v>D</v>
      </c>
      <c r="D596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59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596" s="1" cm="1">
        <f t="array" ref="F596">VALUE(INDEX(_xlfn.TEXTSPLIT(Table1[[#This Row],[Item]], "-"), 5))</f>
        <v>0</v>
      </c>
      <c r="G596" s="1" cm="1">
        <f t="array" ref="G596">VALUE(INDEX(_xlfn.TEXTSPLIT(Table1[[#This Row],[Item]], "-"), 6))</f>
        <v>1</v>
      </c>
      <c r="H596" s="1" cm="1">
        <f t="array" ref="H596">VALUE(INDEX(_xlfn.TEXTSPLIT(Table1[[#This Row],[Item]], "-"), 7))</f>
        <v>0</v>
      </c>
      <c r="I59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96" s="1" t="str">
        <f>LEFT(RIGHT(Table1[[#This Row],[Item]],6),1)</f>
        <v>N</v>
      </c>
      <c r="K596" s="1" t="str">
        <f t="shared" si="10"/>
        <v>N</v>
      </c>
      <c r="L596" s="1" t="str">
        <f>RIGHT(Table1[[#This Row],[Item]],2)</f>
        <v>BR</v>
      </c>
      <c r="M596" s="1" t="s">
        <v>33</v>
      </c>
      <c r="N596" s="3" t="s">
        <v>616</v>
      </c>
      <c r="O596" s="1"/>
    </row>
    <row r="597" spans="1:15" ht="15" customHeight="1">
      <c r="A597" t="s">
        <v>617</v>
      </c>
      <c r="B597" s="1" t="str">
        <f>LEFT(Table1[[#This Row],[Item]], FIND("-", Table1[[#This Row],[Item]]) - 1)</f>
        <v>GX09</v>
      </c>
      <c r="C597" s="1" t="str">
        <f>MID(LEFT(Table1[[#This Row],[Item]], FIND("{token}", SUBSTITUTE(Table1[[#This Row],[Item]], "-", "{token}", 2)) - 1), FIND("-", Table1[[#This Row],[Item]]) + 1, LEN(Table1[[#This Row],[Item]]))</f>
        <v>D</v>
      </c>
      <c r="D597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59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597" s="1" cm="1">
        <f t="array" ref="F597">VALUE(INDEX(_xlfn.TEXTSPLIT(Table1[[#This Row],[Item]], "-"), 5))</f>
        <v>0</v>
      </c>
      <c r="G597" s="1" cm="1">
        <f t="array" ref="G597">VALUE(INDEX(_xlfn.TEXTSPLIT(Table1[[#This Row],[Item]], "-"), 6))</f>
        <v>1</v>
      </c>
      <c r="H597" s="1" cm="1">
        <f t="array" ref="H597">VALUE(INDEX(_xlfn.TEXTSPLIT(Table1[[#This Row],[Item]], "-"), 7))</f>
        <v>0</v>
      </c>
      <c r="I59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97" s="1" t="str">
        <f>LEFT(RIGHT(Table1[[#This Row],[Item]],6),1)</f>
        <v>N</v>
      </c>
      <c r="K597" s="1" t="str">
        <f t="shared" si="10"/>
        <v>N</v>
      </c>
      <c r="L597" s="1" t="str">
        <f>RIGHT(Table1[[#This Row],[Item]],2)</f>
        <v>BR</v>
      </c>
      <c r="M597" s="1" t="s">
        <v>33</v>
      </c>
      <c r="N597" s="3" t="s">
        <v>617</v>
      </c>
      <c r="O597" s="1"/>
    </row>
    <row r="598" spans="1:15" ht="15" customHeight="1">
      <c r="A598" t="s">
        <v>618</v>
      </c>
      <c r="B598" s="1" t="str">
        <f>LEFT(Table1[[#This Row],[Item]], FIND("-", Table1[[#This Row],[Item]]) - 1)</f>
        <v>GX10</v>
      </c>
      <c r="C598" s="1" t="str">
        <f>MID(LEFT(Table1[[#This Row],[Item]], FIND("{token}", SUBSTITUTE(Table1[[#This Row],[Item]], "-", "{token}", 2)) - 1), FIND("-", Table1[[#This Row],[Item]]) + 1, LEN(Table1[[#This Row],[Item]]))</f>
        <v>C</v>
      </c>
      <c r="D59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9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98" s="1" cm="1">
        <f t="array" ref="F598">VALUE(INDEX(_xlfn.TEXTSPLIT(Table1[[#This Row],[Item]], "-"), 5))</f>
        <v>2</v>
      </c>
      <c r="G598" s="1" cm="1">
        <f t="array" ref="G598">VALUE(INDEX(_xlfn.TEXTSPLIT(Table1[[#This Row],[Item]], "-"), 6))</f>
        <v>0</v>
      </c>
      <c r="H598" s="1" cm="1">
        <f t="array" ref="H598">VALUE(INDEX(_xlfn.TEXTSPLIT(Table1[[#This Row],[Item]], "-"), 7))</f>
        <v>0</v>
      </c>
      <c r="I59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598" s="1" t="str">
        <f>LEFT(RIGHT(Table1[[#This Row],[Item]],6),1)</f>
        <v>N</v>
      </c>
      <c r="K598" s="1" t="str">
        <f t="shared" si="10"/>
        <v>N</v>
      </c>
      <c r="L598" s="1" t="str">
        <f>RIGHT(Table1[[#This Row],[Item]],2)</f>
        <v>BR</v>
      </c>
      <c r="M598" s="1" t="s">
        <v>33</v>
      </c>
      <c r="N598" s="3" t="s">
        <v>618</v>
      </c>
      <c r="O598" s="1"/>
    </row>
    <row r="599" spans="1:15" ht="15" customHeight="1">
      <c r="A599" t="s">
        <v>619</v>
      </c>
      <c r="B599" s="1" t="str">
        <f>LEFT(Table1[[#This Row],[Item]], FIND("-", Table1[[#This Row],[Item]]) - 1)</f>
        <v>STT9</v>
      </c>
      <c r="C599" s="1" t="str">
        <f>MID(LEFT(Table1[[#This Row],[Item]], FIND("{token}", SUBSTITUTE(Table1[[#This Row],[Item]], "-", "{token}", 2)) - 1), FIND("-", Table1[[#This Row],[Item]]) + 1, LEN(Table1[[#This Row],[Item]]))</f>
        <v>N</v>
      </c>
      <c r="D59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59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599" s="1" cm="1">
        <f t="array" ref="F599">VALUE(INDEX(_xlfn.TEXTSPLIT(Table1[[#This Row],[Item]], "-"), 5))</f>
        <v>0</v>
      </c>
      <c r="G599" s="1" cm="1">
        <f t="array" ref="G599">VALUE(INDEX(_xlfn.TEXTSPLIT(Table1[[#This Row],[Item]], "-"), 6))</f>
        <v>0</v>
      </c>
      <c r="H599" s="1" cm="1">
        <f t="array" ref="H599">VALUE(INDEX(_xlfn.TEXTSPLIT(Table1[[#This Row],[Item]], "-"), 7))</f>
        <v>0</v>
      </c>
      <c r="I599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599" s="1" t="str">
        <f>LEFT(RIGHT(Table1[[#This Row],[Item]],6),1)</f>
        <v>Y</v>
      </c>
      <c r="K599" s="1" t="str">
        <f t="shared" si="10"/>
        <v>N</v>
      </c>
      <c r="L599" s="1" t="str">
        <f>RIGHT(Table1[[#This Row],[Item]],2)</f>
        <v>BR</v>
      </c>
      <c r="M599" s="1" t="s">
        <v>33</v>
      </c>
      <c r="N599" s="3" t="s">
        <v>619</v>
      </c>
      <c r="O599" s="1"/>
    </row>
    <row r="600" spans="1:15" ht="15" customHeight="1">
      <c r="A600" t="s">
        <v>620</v>
      </c>
      <c r="B600" s="1" t="str">
        <f>LEFT(Table1[[#This Row],[Item]], FIND("-", Table1[[#This Row],[Item]]) - 1)</f>
        <v>GX05</v>
      </c>
      <c r="C600" s="1" t="str">
        <f>MID(LEFT(Table1[[#This Row],[Item]], FIND("{token}", SUBSTITUTE(Table1[[#This Row],[Item]], "-", "{token}", 2)) - 1), FIND("-", Table1[[#This Row],[Item]]) + 1, LEN(Table1[[#This Row],[Item]]))</f>
        <v>CXL</v>
      </c>
      <c r="D60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0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00" s="1" cm="1">
        <f t="array" ref="F600">VALUE(INDEX(_xlfn.TEXTSPLIT(Table1[[#This Row],[Item]], "-"), 5))</f>
        <v>0</v>
      </c>
      <c r="G600" s="1" cm="1">
        <f t="array" ref="G600">VALUE(INDEX(_xlfn.TEXTSPLIT(Table1[[#This Row],[Item]], "-"), 6))</f>
        <v>0</v>
      </c>
      <c r="H600" s="1" cm="1">
        <f t="array" ref="H600">VALUE(INDEX(_xlfn.TEXTSPLIT(Table1[[#This Row],[Item]], "-"), 7))</f>
        <v>0</v>
      </c>
      <c r="I60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00" s="1" t="str">
        <f>LEFT(RIGHT(Table1[[#This Row],[Item]],6),1)</f>
        <v>N</v>
      </c>
      <c r="K600" s="1" t="str">
        <f t="shared" si="10"/>
        <v>N</v>
      </c>
      <c r="L600" s="1" t="str">
        <f>RIGHT(Table1[[#This Row],[Item]],2)</f>
        <v>BR</v>
      </c>
      <c r="M600" s="1" t="s">
        <v>33</v>
      </c>
      <c r="N600" s="3" t="s">
        <v>620</v>
      </c>
      <c r="O600" s="1"/>
    </row>
    <row r="601" spans="1:15" ht="15" customHeight="1">
      <c r="A601" t="s">
        <v>621</v>
      </c>
      <c r="B601" s="1" t="str">
        <f>LEFT(Table1[[#This Row],[Item]], FIND("-", Table1[[#This Row],[Item]]) - 1)</f>
        <v>GX05</v>
      </c>
      <c r="C601" s="1" t="str">
        <f>MID(LEFT(Table1[[#This Row],[Item]], FIND("{token}", SUBSTITUTE(Table1[[#This Row],[Item]], "-", "{token}", 2)) - 1), FIND("-", Table1[[#This Row],[Item]]) + 1, LEN(Table1[[#This Row],[Item]]))</f>
        <v>N</v>
      </c>
      <c r="D60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0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601" s="1" cm="1">
        <f t="array" ref="F601">VALUE(INDEX(_xlfn.TEXTSPLIT(Table1[[#This Row],[Item]], "-"), 5))</f>
        <v>1</v>
      </c>
      <c r="G601" s="1" cm="1">
        <f t="array" ref="G601">VALUE(INDEX(_xlfn.TEXTSPLIT(Table1[[#This Row],[Item]], "-"), 6))</f>
        <v>1</v>
      </c>
      <c r="H601" s="1" cm="1">
        <f t="array" ref="H601">VALUE(INDEX(_xlfn.TEXTSPLIT(Table1[[#This Row],[Item]], "-"), 7))</f>
        <v>0</v>
      </c>
      <c r="I60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01" s="1" t="str">
        <f>LEFT(RIGHT(Table1[[#This Row],[Item]],6),1)</f>
        <v>N</v>
      </c>
      <c r="K601" s="1" t="str">
        <f t="shared" si="10"/>
        <v>N</v>
      </c>
      <c r="L601" s="1" t="str">
        <f>RIGHT(Table1[[#This Row],[Item]],2)</f>
        <v>BR</v>
      </c>
      <c r="M601" s="1" t="s">
        <v>33</v>
      </c>
      <c r="N601" s="3" t="s">
        <v>621</v>
      </c>
      <c r="O601" s="1"/>
    </row>
    <row r="602" spans="1:15" ht="15" customHeight="1">
      <c r="A602" t="s">
        <v>622</v>
      </c>
      <c r="B602" s="1" t="str">
        <f>LEFT(Table1[[#This Row],[Item]], FIND("-", Table1[[#This Row],[Item]]) - 1)</f>
        <v>MA12</v>
      </c>
      <c r="C602" s="1" t="str">
        <f>MID(LEFT(Table1[[#This Row],[Item]], FIND("{token}", SUBSTITUTE(Table1[[#This Row],[Item]], "-", "{token}", 2)) - 1), FIND("-", Table1[[#This Row],[Item]]) + 1, LEN(Table1[[#This Row],[Item]]))</f>
        <v>C</v>
      </c>
      <c r="D60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0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602" s="1" cm="1">
        <f t="array" ref="F602">VALUE(INDEX(_xlfn.TEXTSPLIT(Table1[[#This Row],[Item]], "-"), 5))</f>
        <v>2</v>
      </c>
      <c r="G602" s="1" cm="1">
        <f t="array" ref="G602">VALUE(INDEX(_xlfn.TEXTSPLIT(Table1[[#This Row],[Item]], "-"), 6))</f>
        <v>0</v>
      </c>
      <c r="H602" s="1" cm="1">
        <f t="array" ref="H602">VALUE(INDEX(_xlfn.TEXTSPLIT(Table1[[#This Row],[Item]], "-"), 7))</f>
        <v>0</v>
      </c>
      <c r="I602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602" s="1" t="str">
        <f>LEFT(RIGHT(Table1[[#This Row],[Item]],6),1)</f>
        <v>Y</v>
      </c>
      <c r="K602" s="1" t="str">
        <f t="shared" si="10"/>
        <v>Y</v>
      </c>
      <c r="L602" s="1" t="str">
        <f>RIGHT(Table1[[#This Row],[Item]],2)</f>
        <v>BR</v>
      </c>
      <c r="M602" s="1" t="s">
        <v>33</v>
      </c>
      <c r="N602" s="3" t="s">
        <v>622</v>
      </c>
      <c r="O602" s="1"/>
    </row>
    <row r="603" spans="1:15" ht="15" customHeight="1">
      <c r="A603" t="s">
        <v>623</v>
      </c>
      <c r="B603" s="1" t="str">
        <f>LEFT(Table1[[#This Row],[Item]], FIND("-", Table1[[#This Row],[Item]]) - 1)</f>
        <v>STT7</v>
      </c>
      <c r="C603" s="1" t="str">
        <f>MID(LEFT(Table1[[#This Row],[Item]], FIND("{token}", SUBSTITUTE(Table1[[#This Row],[Item]], "-", "{token}", 2)) - 1), FIND("-", Table1[[#This Row],[Item]]) + 1, LEN(Table1[[#This Row],[Item]]))</f>
        <v>N</v>
      </c>
      <c r="D60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0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03" s="1" cm="1">
        <f t="array" ref="F603">VALUE(INDEX(_xlfn.TEXTSPLIT(Table1[[#This Row],[Item]], "-"), 5))</f>
        <v>0</v>
      </c>
      <c r="G603" s="1" cm="1">
        <f t="array" ref="G603">VALUE(INDEX(_xlfn.TEXTSPLIT(Table1[[#This Row],[Item]], "-"), 6))</f>
        <v>0</v>
      </c>
      <c r="H603" s="1" cm="1">
        <f t="array" ref="H603">VALUE(INDEX(_xlfn.TEXTSPLIT(Table1[[#This Row],[Item]], "-"), 7))</f>
        <v>0</v>
      </c>
      <c r="I60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03" s="1" t="str">
        <f>LEFT(RIGHT(Table1[[#This Row],[Item]],6),1)</f>
        <v>Y</v>
      </c>
      <c r="K603" s="1" t="str">
        <f t="shared" si="10"/>
        <v>Y</v>
      </c>
      <c r="L603" s="1" t="str">
        <f>RIGHT(Table1[[#This Row],[Item]],2)</f>
        <v>BR</v>
      </c>
      <c r="M603" s="1" t="s">
        <v>33</v>
      </c>
      <c r="N603" s="3" t="s">
        <v>623</v>
      </c>
      <c r="O603" s="1"/>
    </row>
    <row r="604" spans="1:15" ht="15" customHeight="1">
      <c r="A604" t="s">
        <v>624</v>
      </c>
      <c r="B604" s="1" t="str">
        <f>LEFT(Table1[[#This Row],[Item]], FIND("-", Table1[[#This Row],[Item]]) - 1)</f>
        <v>GX09</v>
      </c>
      <c r="C604" s="1" t="str">
        <f>MID(LEFT(Table1[[#This Row],[Item]], FIND("{token}", SUBSTITUTE(Table1[[#This Row],[Item]], "-", "{token}", 2)) - 1), FIND("-", Table1[[#This Row],[Item]]) + 1, LEN(Table1[[#This Row],[Item]]))</f>
        <v>R</v>
      </c>
      <c r="D604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60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04" s="1" cm="1">
        <f t="array" ref="F604">VALUE(INDEX(_xlfn.TEXTSPLIT(Table1[[#This Row],[Item]], "-"), 5))</f>
        <v>0</v>
      </c>
      <c r="G604" s="1" cm="1">
        <f t="array" ref="G604">VALUE(INDEX(_xlfn.TEXTSPLIT(Table1[[#This Row],[Item]], "-"), 6))</f>
        <v>2</v>
      </c>
      <c r="H604" s="1" cm="1">
        <f t="array" ref="H604">VALUE(INDEX(_xlfn.TEXTSPLIT(Table1[[#This Row],[Item]], "-"), 7))</f>
        <v>0</v>
      </c>
      <c r="I60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04" s="1" t="str">
        <f>LEFT(RIGHT(Table1[[#This Row],[Item]],6),1)</f>
        <v>N</v>
      </c>
      <c r="K604" s="1" t="str">
        <f t="shared" si="10"/>
        <v>N</v>
      </c>
      <c r="L604" s="1" t="str">
        <f>RIGHT(Table1[[#This Row],[Item]],2)</f>
        <v>BR</v>
      </c>
      <c r="M604" s="1" t="s">
        <v>33</v>
      </c>
      <c r="N604" s="3" t="s">
        <v>624</v>
      </c>
      <c r="O604" s="1"/>
    </row>
    <row r="605" spans="1:15" ht="15" customHeight="1">
      <c r="A605" t="s">
        <v>625</v>
      </c>
      <c r="B605" s="1" t="str">
        <f>LEFT(Table1[[#This Row],[Item]], FIND("-", Table1[[#This Row],[Item]]) - 1)</f>
        <v>GX05</v>
      </c>
      <c r="C605" s="1" t="str">
        <f>MID(LEFT(Table1[[#This Row],[Item]], FIND("{token}", SUBSTITUTE(Table1[[#This Row],[Item]], "-", "{token}", 2)) - 1), FIND("-", Table1[[#This Row],[Item]]) + 1, LEN(Table1[[#This Row],[Item]]))</f>
        <v>R</v>
      </c>
      <c r="D605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60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05" s="1" cm="1">
        <f t="array" ref="F605">VALUE(INDEX(_xlfn.TEXTSPLIT(Table1[[#This Row],[Item]], "-"), 5))</f>
        <v>0</v>
      </c>
      <c r="G605" s="1" cm="1">
        <f t="array" ref="G605">VALUE(INDEX(_xlfn.TEXTSPLIT(Table1[[#This Row],[Item]], "-"), 6))</f>
        <v>0</v>
      </c>
      <c r="H605" s="1" cm="1">
        <f t="array" ref="H605">VALUE(INDEX(_xlfn.TEXTSPLIT(Table1[[#This Row],[Item]], "-"), 7))</f>
        <v>0</v>
      </c>
      <c r="I60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05" s="1" t="str">
        <f>LEFT(RIGHT(Table1[[#This Row],[Item]],6),1)</f>
        <v>N</v>
      </c>
      <c r="K605" s="1" t="str">
        <f t="shared" si="10"/>
        <v>N</v>
      </c>
      <c r="L605" s="1" t="str">
        <f>RIGHT(Table1[[#This Row],[Item]],2)</f>
        <v>BR</v>
      </c>
      <c r="M605" s="1" t="s">
        <v>33</v>
      </c>
      <c r="N605" s="3" t="s">
        <v>625</v>
      </c>
      <c r="O605" s="1"/>
    </row>
    <row r="606" spans="1:15" ht="15" customHeight="1">
      <c r="A606" t="s">
        <v>626</v>
      </c>
      <c r="B606" s="1" t="str">
        <f>LEFT(Table1[[#This Row],[Item]], FIND("-", Table1[[#This Row],[Item]]) - 1)</f>
        <v>GX09</v>
      </c>
      <c r="C606" s="1" t="str">
        <f>MID(LEFT(Table1[[#This Row],[Item]], FIND("{token}", SUBSTITUTE(Table1[[#This Row],[Item]], "-", "{token}", 2)) - 1), FIND("-", Table1[[#This Row],[Item]]) + 1, LEN(Table1[[#This Row],[Item]]))</f>
        <v>L</v>
      </c>
      <c r="D60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0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06" s="1" cm="1">
        <f t="array" ref="F606">VALUE(INDEX(_xlfn.TEXTSPLIT(Table1[[#This Row],[Item]], "-"), 5))</f>
        <v>1</v>
      </c>
      <c r="G606" s="1" cm="1">
        <f t="array" ref="G606">VALUE(INDEX(_xlfn.TEXTSPLIT(Table1[[#This Row],[Item]], "-"), 6))</f>
        <v>1</v>
      </c>
      <c r="H606" s="1" cm="1">
        <f t="array" ref="H606">VALUE(INDEX(_xlfn.TEXTSPLIT(Table1[[#This Row],[Item]], "-"), 7))</f>
        <v>0</v>
      </c>
      <c r="I60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06" s="1" t="str">
        <f>LEFT(RIGHT(Table1[[#This Row],[Item]],6),1)</f>
        <v>N</v>
      </c>
      <c r="K606" s="1" t="str">
        <f t="shared" si="10"/>
        <v>N</v>
      </c>
      <c r="L606" s="1" t="str">
        <f>RIGHT(Table1[[#This Row],[Item]],2)</f>
        <v>BR</v>
      </c>
      <c r="M606" s="1" t="s">
        <v>33</v>
      </c>
      <c r="N606" s="3" t="s">
        <v>626</v>
      </c>
      <c r="O606" s="1"/>
    </row>
    <row r="607" spans="1:15" ht="15" customHeight="1">
      <c r="A607" t="s">
        <v>627</v>
      </c>
      <c r="B607" s="1" t="str">
        <f>LEFT(Table1[[#This Row],[Item]], FIND("-", Table1[[#This Row],[Item]]) - 1)</f>
        <v>GX09</v>
      </c>
      <c r="C607" s="1" t="str">
        <f>MID(LEFT(Table1[[#This Row],[Item]], FIND("{token}", SUBSTITUTE(Table1[[#This Row],[Item]], "-", "{token}", 2)) - 1), FIND("-", Table1[[#This Row],[Item]]) + 1, LEN(Table1[[#This Row],[Item]]))</f>
        <v>R</v>
      </c>
      <c r="D607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60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07" s="1" cm="1">
        <f t="array" ref="F607">VALUE(INDEX(_xlfn.TEXTSPLIT(Table1[[#This Row],[Item]], "-"), 5))</f>
        <v>1</v>
      </c>
      <c r="G607" s="1" cm="1">
        <f t="array" ref="G607">VALUE(INDEX(_xlfn.TEXTSPLIT(Table1[[#This Row],[Item]], "-"), 6))</f>
        <v>1</v>
      </c>
      <c r="H607" s="1" cm="1">
        <f t="array" ref="H607">VALUE(INDEX(_xlfn.TEXTSPLIT(Table1[[#This Row],[Item]], "-"), 7))</f>
        <v>0</v>
      </c>
      <c r="I60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07" s="1" t="str">
        <f>LEFT(RIGHT(Table1[[#This Row],[Item]],6),1)</f>
        <v>N</v>
      </c>
      <c r="K607" s="1" t="str">
        <f t="shared" si="10"/>
        <v>N</v>
      </c>
      <c r="L607" s="1" t="str">
        <f>RIGHT(Table1[[#This Row],[Item]],2)</f>
        <v>BR</v>
      </c>
      <c r="M607" s="1" t="s">
        <v>33</v>
      </c>
      <c r="N607" s="3" t="s">
        <v>627</v>
      </c>
      <c r="O607" s="1"/>
    </row>
    <row r="608" spans="1:15" ht="15" customHeight="1">
      <c r="A608" t="s">
        <v>628</v>
      </c>
      <c r="B608" s="1" t="str">
        <f>LEFT(Table1[[#This Row],[Item]], FIND("-", Table1[[#This Row],[Item]]) - 1)</f>
        <v>GX09</v>
      </c>
      <c r="C608" s="1" t="str">
        <f>MID(LEFT(Table1[[#This Row],[Item]], FIND("{token}", SUBSTITUTE(Table1[[#This Row],[Item]], "-", "{token}", 2)) - 1), FIND("-", Table1[[#This Row],[Item]]) + 1, LEN(Table1[[#This Row],[Item]]))</f>
        <v>C</v>
      </c>
      <c r="D608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60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08" s="1" cm="1">
        <f t="array" ref="F608">VALUE(INDEX(_xlfn.TEXTSPLIT(Table1[[#This Row],[Item]], "-"), 5))</f>
        <v>1</v>
      </c>
      <c r="G608" s="1" cm="1">
        <f t="array" ref="G608">VALUE(INDEX(_xlfn.TEXTSPLIT(Table1[[#This Row],[Item]], "-"), 6))</f>
        <v>1</v>
      </c>
      <c r="H608" s="1" cm="1">
        <f t="array" ref="H608">VALUE(INDEX(_xlfn.TEXTSPLIT(Table1[[#This Row],[Item]], "-"), 7))</f>
        <v>0</v>
      </c>
      <c r="I60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08" s="1" t="str">
        <f>LEFT(RIGHT(Table1[[#This Row],[Item]],6),1)</f>
        <v>N</v>
      </c>
      <c r="K608" s="1" t="str">
        <f t="shared" si="10"/>
        <v>N</v>
      </c>
      <c r="L608" s="1" t="str">
        <f>RIGHT(Table1[[#This Row],[Item]],2)</f>
        <v>BR</v>
      </c>
      <c r="M608" s="1" t="s">
        <v>33</v>
      </c>
      <c r="N608" s="3" t="s">
        <v>628</v>
      </c>
      <c r="O608" s="1"/>
    </row>
    <row r="609" spans="1:15" ht="15" customHeight="1">
      <c r="A609" t="s">
        <v>629</v>
      </c>
      <c r="B609" s="1" t="str">
        <f>LEFT(Table1[[#This Row],[Item]], FIND("-", Table1[[#This Row],[Item]]) - 1)</f>
        <v>GX10</v>
      </c>
      <c r="C609" s="1" t="str">
        <f>MID(LEFT(Table1[[#This Row],[Item]], FIND("{token}", SUBSTITUTE(Table1[[#This Row],[Item]], "-", "{token}", 2)) - 1), FIND("-", Table1[[#This Row],[Item]]) + 1, LEN(Table1[[#This Row],[Item]]))</f>
        <v>L</v>
      </c>
      <c r="D60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0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09" s="1" cm="1">
        <f t="array" ref="F609">VALUE(INDEX(_xlfn.TEXTSPLIT(Table1[[#This Row],[Item]], "-"), 5))</f>
        <v>1</v>
      </c>
      <c r="G609" s="1" cm="1">
        <f t="array" ref="G609">VALUE(INDEX(_xlfn.TEXTSPLIT(Table1[[#This Row],[Item]], "-"), 6))</f>
        <v>1</v>
      </c>
      <c r="H609" s="1" cm="1">
        <f t="array" ref="H609">VALUE(INDEX(_xlfn.TEXTSPLIT(Table1[[#This Row],[Item]], "-"), 7))</f>
        <v>0</v>
      </c>
      <c r="I60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09" s="1" t="str">
        <f>LEFT(RIGHT(Table1[[#This Row],[Item]],6),1)</f>
        <v>N</v>
      </c>
      <c r="K609" s="1" t="str">
        <f t="shared" si="10"/>
        <v>N</v>
      </c>
      <c r="L609" s="1" t="str">
        <f>RIGHT(Table1[[#This Row],[Item]],2)</f>
        <v>BR</v>
      </c>
      <c r="M609" s="1" t="s">
        <v>33</v>
      </c>
      <c r="N609" s="3" t="s">
        <v>629</v>
      </c>
      <c r="O609" s="1"/>
    </row>
    <row r="610" spans="1:15" ht="15" customHeight="1">
      <c r="A610" t="s">
        <v>630</v>
      </c>
      <c r="B610" s="1" t="str">
        <f>LEFT(Table1[[#This Row],[Item]], FIND("-", Table1[[#This Row],[Item]]) - 1)</f>
        <v>GX14</v>
      </c>
      <c r="C610" s="1" t="str">
        <f>MID(LEFT(Table1[[#This Row],[Item]], FIND("{token}", SUBSTITUTE(Table1[[#This Row],[Item]], "-", "{token}", 2)) - 1), FIND("-", Table1[[#This Row],[Item]]) + 1, LEN(Table1[[#This Row],[Item]]))</f>
        <v>R</v>
      </c>
      <c r="D61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61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10" s="1" cm="1">
        <f t="array" ref="F610">VALUE(INDEX(_xlfn.TEXTSPLIT(Table1[[#This Row],[Item]], "-"), 5))</f>
        <v>2</v>
      </c>
      <c r="G610" s="1" cm="1">
        <f t="array" ref="G610">VALUE(INDEX(_xlfn.TEXTSPLIT(Table1[[#This Row],[Item]], "-"), 6))</f>
        <v>2</v>
      </c>
      <c r="H610" s="1" cm="1">
        <f t="array" ref="H610">VALUE(INDEX(_xlfn.TEXTSPLIT(Table1[[#This Row],[Item]], "-"), 7))</f>
        <v>0</v>
      </c>
      <c r="I61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10" s="1" t="str">
        <f>LEFT(RIGHT(Table1[[#This Row],[Item]],6),1)</f>
        <v>N</v>
      </c>
      <c r="K610" s="1" t="str">
        <f t="shared" si="10"/>
        <v>N</v>
      </c>
      <c r="L610" s="1" t="str">
        <f>RIGHT(Table1[[#This Row],[Item]],2)</f>
        <v>BR</v>
      </c>
      <c r="M610" s="1" t="s">
        <v>33</v>
      </c>
      <c r="N610" s="3" t="s">
        <v>630</v>
      </c>
      <c r="O610" s="1"/>
    </row>
    <row r="611" spans="1:15" ht="15" customHeight="1">
      <c r="A611" t="s">
        <v>631</v>
      </c>
      <c r="B611" s="1" t="str">
        <f>LEFT(Table1[[#This Row],[Item]], FIND("-", Table1[[#This Row],[Item]]) - 1)</f>
        <v>GX09</v>
      </c>
      <c r="C611" s="1" t="str">
        <f>MID(LEFT(Table1[[#This Row],[Item]], FIND("{token}", SUBSTITUTE(Table1[[#This Row],[Item]], "-", "{token}", 2)) - 1), FIND("-", Table1[[#This Row],[Item]]) + 1, LEN(Table1[[#This Row],[Item]]))</f>
        <v>C</v>
      </c>
      <c r="D61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1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11" s="1" cm="1">
        <f t="array" ref="F611">VALUE(INDEX(_xlfn.TEXTSPLIT(Table1[[#This Row],[Item]], "-"), 5))</f>
        <v>1</v>
      </c>
      <c r="G611" s="1" cm="1">
        <f t="array" ref="G611">VALUE(INDEX(_xlfn.TEXTSPLIT(Table1[[#This Row],[Item]], "-"), 6))</f>
        <v>1</v>
      </c>
      <c r="H611" s="1" cm="1">
        <f t="array" ref="H611">VALUE(INDEX(_xlfn.TEXTSPLIT(Table1[[#This Row],[Item]], "-"), 7))</f>
        <v>0</v>
      </c>
      <c r="I61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11" s="1" t="str">
        <f>LEFT(RIGHT(Table1[[#This Row],[Item]],6),1)</f>
        <v>N</v>
      </c>
      <c r="K611" s="1" t="str">
        <f t="shared" si="10"/>
        <v>N</v>
      </c>
      <c r="L611" s="1" t="str">
        <f>RIGHT(Table1[[#This Row],[Item]],2)</f>
        <v>BR</v>
      </c>
      <c r="M611" s="1" t="s">
        <v>33</v>
      </c>
      <c r="N611" s="3" t="s">
        <v>631</v>
      </c>
      <c r="O611" s="1"/>
    </row>
    <row r="612" spans="1:15" ht="15" customHeight="1">
      <c r="A612" t="s">
        <v>632</v>
      </c>
      <c r="B612" s="1" t="str">
        <f>LEFT(Table1[[#This Row],[Item]], FIND("-", Table1[[#This Row],[Item]]) - 1)</f>
        <v>ARB8</v>
      </c>
      <c r="C612" s="1" t="str">
        <f>MID(LEFT(Table1[[#This Row],[Item]], FIND("{token}", SUBSTITUTE(Table1[[#This Row],[Item]], "-", "{token}", 2)) - 1), FIND("-", Table1[[#This Row],[Item]]) + 1, LEN(Table1[[#This Row],[Item]]))</f>
        <v>R</v>
      </c>
      <c r="D61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1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12" s="1" cm="1">
        <f t="array" ref="F612">VALUE(INDEX(_xlfn.TEXTSPLIT(Table1[[#This Row],[Item]], "-"), 5))</f>
        <v>1</v>
      </c>
      <c r="G612" s="1" cm="1">
        <f t="array" ref="G612">VALUE(INDEX(_xlfn.TEXTSPLIT(Table1[[#This Row],[Item]], "-"), 6))</f>
        <v>0</v>
      </c>
      <c r="H612" s="1" cm="1">
        <f t="array" ref="H612">VALUE(INDEX(_xlfn.TEXTSPLIT(Table1[[#This Row],[Item]], "-"), 7))</f>
        <v>0</v>
      </c>
      <c r="I612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12" s="1" t="str">
        <f>LEFT(RIGHT(Table1[[#This Row],[Item]],6),1)</f>
        <v>Y</v>
      </c>
      <c r="K612" s="1" t="str">
        <f t="shared" si="10"/>
        <v>N</v>
      </c>
      <c r="L612" s="1" t="str">
        <f>RIGHT(Table1[[#This Row],[Item]],2)</f>
        <v>BR</v>
      </c>
      <c r="M612" s="1" t="s">
        <v>33</v>
      </c>
      <c r="N612" s="3" t="s">
        <v>632</v>
      </c>
      <c r="O612" s="1"/>
    </row>
    <row r="613" spans="1:15" ht="15" customHeight="1">
      <c r="A613" t="s">
        <v>633</v>
      </c>
      <c r="B613" s="1" t="str">
        <f>LEFT(Table1[[#This Row],[Item]], FIND("-", Table1[[#This Row],[Item]]) - 1)</f>
        <v>GX06</v>
      </c>
      <c r="C613" s="1" t="str">
        <f>MID(LEFT(Table1[[#This Row],[Item]], FIND("{token}", SUBSTITUTE(Table1[[#This Row],[Item]], "-", "{token}", 2)) - 1), FIND("-", Table1[[#This Row],[Item]]) + 1, LEN(Table1[[#This Row],[Item]]))</f>
        <v>R</v>
      </c>
      <c r="D61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61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13" s="1" cm="1">
        <f t="array" ref="F613">VALUE(INDEX(_xlfn.TEXTSPLIT(Table1[[#This Row],[Item]], "-"), 5))</f>
        <v>0</v>
      </c>
      <c r="G613" s="1" cm="1">
        <f t="array" ref="G613">VALUE(INDEX(_xlfn.TEXTSPLIT(Table1[[#This Row],[Item]], "-"), 6))</f>
        <v>0</v>
      </c>
      <c r="H613" s="1" cm="1">
        <f t="array" ref="H613">VALUE(INDEX(_xlfn.TEXTSPLIT(Table1[[#This Row],[Item]], "-"), 7))</f>
        <v>0</v>
      </c>
      <c r="I61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13" s="1" t="str">
        <f>LEFT(RIGHT(Table1[[#This Row],[Item]],6),1)</f>
        <v>N</v>
      </c>
      <c r="K613" s="1" t="str">
        <f t="shared" si="10"/>
        <v>N</v>
      </c>
      <c r="L613" s="1" t="str">
        <f>RIGHT(Table1[[#This Row],[Item]],2)</f>
        <v>BR</v>
      </c>
      <c r="M613" s="1" t="s">
        <v>33</v>
      </c>
      <c r="N613" s="3" t="s">
        <v>633</v>
      </c>
      <c r="O613" s="1"/>
    </row>
    <row r="614" spans="1:15" ht="15" customHeight="1">
      <c r="A614" t="s">
        <v>634</v>
      </c>
      <c r="B614" s="1" t="str">
        <f>LEFT(Table1[[#This Row],[Item]], FIND("-", Table1[[#This Row],[Item]]) - 1)</f>
        <v>GX09</v>
      </c>
      <c r="C614" s="1" t="str">
        <f>MID(LEFT(Table1[[#This Row],[Item]], FIND("{token}", SUBSTITUTE(Table1[[#This Row],[Item]], "-", "{token}", 2)) - 1), FIND("-", Table1[[#This Row],[Item]]) + 1, LEN(Table1[[#This Row],[Item]]))</f>
        <v>R</v>
      </c>
      <c r="D614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61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14" s="1" cm="1">
        <f t="array" ref="F614">VALUE(INDEX(_xlfn.TEXTSPLIT(Table1[[#This Row],[Item]], "-"), 5))</f>
        <v>1</v>
      </c>
      <c r="G614" s="1" cm="1">
        <f t="array" ref="G614">VALUE(INDEX(_xlfn.TEXTSPLIT(Table1[[#This Row],[Item]], "-"), 6))</f>
        <v>0</v>
      </c>
      <c r="H614" s="1" cm="1">
        <f t="array" ref="H614">VALUE(INDEX(_xlfn.TEXTSPLIT(Table1[[#This Row],[Item]], "-"), 7))</f>
        <v>0</v>
      </c>
      <c r="I61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14" s="1" t="str">
        <f>LEFT(RIGHT(Table1[[#This Row],[Item]],6),1)</f>
        <v>N</v>
      </c>
      <c r="K614" s="1" t="str">
        <f t="shared" si="10"/>
        <v>N</v>
      </c>
      <c r="L614" s="1" t="str">
        <f>RIGHT(Table1[[#This Row],[Item]],2)</f>
        <v>BR</v>
      </c>
      <c r="M614" s="1" t="s">
        <v>33</v>
      </c>
      <c r="N614" s="3" t="s">
        <v>634</v>
      </c>
      <c r="O614" s="1"/>
    </row>
    <row r="615" spans="1:15" ht="15" customHeight="1">
      <c r="A615" t="s">
        <v>635</v>
      </c>
      <c r="B615" s="1" t="str">
        <f>LEFT(Table1[[#This Row],[Item]], FIND("-", Table1[[#This Row],[Item]]) - 1)</f>
        <v>GX09</v>
      </c>
      <c r="C615" s="1" t="str">
        <f>MID(LEFT(Table1[[#This Row],[Item]], FIND("{token}", SUBSTITUTE(Table1[[#This Row],[Item]], "-", "{token}", 2)) - 1), FIND("-", Table1[[#This Row],[Item]]) + 1, LEN(Table1[[#This Row],[Item]]))</f>
        <v>RXL</v>
      </c>
      <c r="D615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61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15" s="1" cm="1">
        <f t="array" ref="F615">VALUE(INDEX(_xlfn.TEXTSPLIT(Table1[[#This Row],[Item]], "-"), 5))</f>
        <v>1</v>
      </c>
      <c r="G615" s="1" cm="1">
        <f t="array" ref="G615">VALUE(INDEX(_xlfn.TEXTSPLIT(Table1[[#This Row],[Item]], "-"), 6))</f>
        <v>0</v>
      </c>
      <c r="H615" s="1" cm="1">
        <f t="array" ref="H615">VALUE(INDEX(_xlfn.TEXTSPLIT(Table1[[#This Row],[Item]], "-"), 7))</f>
        <v>0</v>
      </c>
      <c r="I61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15" s="1" t="str">
        <f>LEFT(RIGHT(Table1[[#This Row],[Item]],6),1)</f>
        <v>N</v>
      </c>
      <c r="K615" s="1" t="str">
        <f t="shared" si="10"/>
        <v>N</v>
      </c>
      <c r="L615" s="1" t="str">
        <f>RIGHT(Table1[[#This Row],[Item]],2)</f>
        <v>BR</v>
      </c>
      <c r="M615" s="1" t="s">
        <v>33</v>
      </c>
      <c r="N615" t="s">
        <v>635</v>
      </c>
      <c r="O615" s="1"/>
    </row>
    <row r="616" spans="1:15" ht="15" customHeight="1">
      <c r="A616" t="s">
        <v>636</v>
      </c>
      <c r="B616" s="1" t="str">
        <f>LEFT(Table1[[#This Row],[Item]], FIND("-", Table1[[#This Row],[Item]]) - 1)</f>
        <v>GX09</v>
      </c>
      <c r="C616" s="1" t="str">
        <f>MID(LEFT(Table1[[#This Row],[Item]], FIND("{token}", SUBSTITUTE(Table1[[#This Row],[Item]], "-", "{token}", 2)) - 1), FIND("-", Table1[[#This Row],[Item]]) + 1, LEN(Table1[[#This Row],[Item]]))</f>
        <v>L</v>
      </c>
      <c r="D616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61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16" s="1" cm="1">
        <f t="array" ref="F616">VALUE(INDEX(_xlfn.TEXTSPLIT(Table1[[#This Row],[Item]], "-"), 5))</f>
        <v>1</v>
      </c>
      <c r="G616" s="1" cm="1">
        <f t="array" ref="G616">VALUE(INDEX(_xlfn.TEXTSPLIT(Table1[[#This Row],[Item]], "-"), 6))</f>
        <v>1</v>
      </c>
      <c r="H616" s="1" cm="1">
        <f t="array" ref="H616">VALUE(INDEX(_xlfn.TEXTSPLIT(Table1[[#This Row],[Item]], "-"), 7))</f>
        <v>0</v>
      </c>
      <c r="I61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16" s="1" t="str">
        <f>LEFT(RIGHT(Table1[[#This Row],[Item]],6),1)</f>
        <v>N</v>
      </c>
      <c r="K616" s="1" t="str">
        <f t="shared" si="10"/>
        <v>N</v>
      </c>
      <c r="L616" s="1" t="str">
        <f>RIGHT(Table1[[#This Row],[Item]],2)</f>
        <v>BR</v>
      </c>
      <c r="M616" s="1" t="s">
        <v>33</v>
      </c>
      <c r="N616" s="3" t="s">
        <v>636</v>
      </c>
      <c r="O616" s="1"/>
    </row>
    <row r="617" spans="1:15" ht="15" customHeight="1">
      <c r="A617" t="s">
        <v>637</v>
      </c>
      <c r="B617" s="1" t="str">
        <f>LEFT(Table1[[#This Row],[Item]], FIND("-", Table1[[#This Row],[Item]]) - 1)</f>
        <v>MA10</v>
      </c>
      <c r="C617" s="1" t="str">
        <f>MID(LEFT(Table1[[#This Row],[Item]], FIND("{token}", SUBSTITUTE(Table1[[#This Row],[Item]], "-", "{token}", 2)) - 1), FIND("-", Table1[[#This Row],[Item]]) + 1, LEN(Table1[[#This Row],[Item]]))</f>
        <v>N</v>
      </c>
      <c r="D61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1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617" s="1" cm="1">
        <f t="array" ref="F617">VALUE(INDEX(_xlfn.TEXTSPLIT(Table1[[#This Row],[Item]], "-"), 5))</f>
        <v>2</v>
      </c>
      <c r="G617" s="1" cm="1">
        <f t="array" ref="G617">VALUE(INDEX(_xlfn.TEXTSPLIT(Table1[[#This Row],[Item]], "-"), 6))</f>
        <v>0</v>
      </c>
      <c r="H617" s="1" cm="1">
        <f t="array" ref="H617">VALUE(INDEX(_xlfn.TEXTSPLIT(Table1[[#This Row],[Item]], "-"), 7))</f>
        <v>0</v>
      </c>
      <c r="I617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617" s="1" t="str">
        <f>LEFT(RIGHT(Table1[[#This Row],[Item]],6),1)</f>
        <v>Y</v>
      </c>
      <c r="K617" s="1" t="str">
        <f t="shared" si="10"/>
        <v>N</v>
      </c>
      <c r="L617" s="1" t="str">
        <f>RIGHT(Table1[[#This Row],[Item]],2)</f>
        <v>BR</v>
      </c>
      <c r="M617" s="1" t="s">
        <v>33</v>
      </c>
      <c r="N617" s="3" t="s">
        <v>637</v>
      </c>
      <c r="O617" s="1"/>
    </row>
    <row r="618" spans="1:15" ht="15" customHeight="1">
      <c r="A618" t="s">
        <v>638</v>
      </c>
      <c r="B618" s="1" t="str">
        <f>LEFT(Table1[[#This Row],[Item]], FIND("-", Table1[[#This Row],[Item]]) - 1)</f>
        <v>GX10</v>
      </c>
      <c r="C618" s="1" t="str">
        <f>MID(LEFT(Table1[[#This Row],[Item]], FIND("{token}", SUBSTITUTE(Table1[[#This Row],[Item]], "-", "{token}", 2)) - 1), FIND("-", Table1[[#This Row],[Item]]) + 1, LEN(Table1[[#This Row],[Item]]))</f>
        <v>RXL</v>
      </c>
      <c r="D61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61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18" s="1" cm="1">
        <f t="array" ref="F618">VALUE(INDEX(_xlfn.TEXTSPLIT(Table1[[#This Row],[Item]], "-"), 5))</f>
        <v>1</v>
      </c>
      <c r="G618" s="1" cm="1">
        <f t="array" ref="G618">VALUE(INDEX(_xlfn.TEXTSPLIT(Table1[[#This Row],[Item]], "-"), 6))</f>
        <v>0</v>
      </c>
      <c r="H618" s="1" cm="1">
        <f t="array" ref="H618">VALUE(INDEX(_xlfn.TEXTSPLIT(Table1[[#This Row],[Item]], "-"), 7))</f>
        <v>0</v>
      </c>
      <c r="I61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18" s="1" t="str">
        <f>LEFT(RIGHT(Table1[[#This Row],[Item]],6),1)</f>
        <v>N</v>
      </c>
      <c r="K618" s="1" t="str">
        <f t="shared" si="10"/>
        <v>N</v>
      </c>
      <c r="L618" s="1" t="str">
        <f>RIGHT(Table1[[#This Row],[Item]],2)</f>
        <v>BR</v>
      </c>
      <c r="M618" s="1" t="s">
        <v>33</v>
      </c>
      <c r="N618" s="3" t="s">
        <v>638</v>
      </c>
      <c r="O618" s="1"/>
    </row>
    <row r="619" spans="1:15" ht="15" customHeight="1">
      <c r="A619" t="s">
        <v>639</v>
      </c>
      <c r="B619" s="1" t="str">
        <f>LEFT(Table1[[#This Row],[Item]], FIND("-", Table1[[#This Row],[Item]]) - 1)</f>
        <v>GX12</v>
      </c>
      <c r="C619" s="1" t="str">
        <f>MID(LEFT(Table1[[#This Row],[Item]], FIND("{token}", SUBSTITUTE(Table1[[#This Row],[Item]], "-", "{token}", 2)) - 1), FIND("-", Table1[[#This Row],[Item]]) + 1, LEN(Table1[[#This Row],[Item]]))</f>
        <v>C</v>
      </c>
      <c r="D619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61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619" s="1" cm="1">
        <f t="array" ref="F619">VALUE(INDEX(_xlfn.TEXTSPLIT(Table1[[#This Row],[Item]], "-"), 5))</f>
        <v>2</v>
      </c>
      <c r="G619" s="1" cm="1">
        <f t="array" ref="G619">VALUE(INDEX(_xlfn.TEXTSPLIT(Table1[[#This Row],[Item]], "-"), 6))</f>
        <v>1</v>
      </c>
      <c r="H619" s="1" cm="1">
        <f t="array" ref="H619">VALUE(INDEX(_xlfn.TEXTSPLIT(Table1[[#This Row],[Item]], "-"), 7))</f>
        <v>1</v>
      </c>
      <c r="I61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19" s="1" t="str">
        <f>LEFT(RIGHT(Table1[[#This Row],[Item]],6),1)</f>
        <v>N</v>
      </c>
      <c r="K619" s="1" t="str">
        <f t="shared" si="10"/>
        <v>N</v>
      </c>
      <c r="L619" s="1" t="str">
        <f>RIGHT(Table1[[#This Row],[Item]],2)</f>
        <v>BR</v>
      </c>
      <c r="M619" s="1" t="s">
        <v>33</v>
      </c>
      <c r="N619" s="3" t="s">
        <v>639</v>
      </c>
      <c r="O619" s="1"/>
    </row>
    <row r="620" spans="1:15" ht="15" customHeight="1">
      <c r="A620" t="s">
        <v>640</v>
      </c>
      <c r="B620" s="1" t="str">
        <f>LEFT(Table1[[#This Row],[Item]], FIND("-", Table1[[#This Row],[Item]]) - 1)</f>
        <v>GX09</v>
      </c>
      <c r="C620" s="1" t="str">
        <f>MID(LEFT(Table1[[#This Row],[Item]], FIND("{token}", SUBSTITUTE(Table1[[#This Row],[Item]], "-", "{token}", 2)) - 1), FIND("-", Table1[[#This Row],[Item]]) + 1, LEN(Table1[[#This Row],[Item]]))</f>
        <v>R</v>
      </c>
      <c r="D62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2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620" s="1" cm="1">
        <f t="array" ref="F620">VALUE(INDEX(_xlfn.TEXTSPLIT(Table1[[#This Row],[Item]], "-"), 5))</f>
        <v>1</v>
      </c>
      <c r="G620" s="1" cm="1">
        <f t="array" ref="G620">VALUE(INDEX(_xlfn.TEXTSPLIT(Table1[[#This Row],[Item]], "-"), 6))</f>
        <v>1</v>
      </c>
      <c r="H620" s="1" cm="1">
        <f t="array" ref="H620">VALUE(INDEX(_xlfn.TEXTSPLIT(Table1[[#This Row],[Item]], "-"), 7))</f>
        <v>1</v>
      </c>
      <c r="I62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20" s="1" t="str">
        <f>LEFT(RIGHT(Table1[[#This Row],[Item]],6),1)</f>
        <v>N</v>
      </c>
      <c r="K620" s="1" t="str">
        <f t="shared" si="10"/>
        <v>N</v>
      </c>
      <c r="L620" s="1" t="str">
        <f>RIGHT(Table1[[#This Row],[Item]],2)</f>
        <v>BR</v>
      </c>
      <c r="M620" s="1" t="s">
        <v>33</v>
      </c>
      <c r="N620" s="3" t="s">
        <v>640</v>
      </c>
      <c r="O620" s="1"/>
    </row>
    <row r="621" spans="1:15" ht="15" customHeight="1">
      <c r="A621" t="s">
        <v>641</v>
      </c>
      <c r="B621" s="1" t="str">
        <f>LEFT(Table1[[#This Row],[Item]], FIND("-", Table1[[#This Row],[Item]]) - 1)</f>
        <v>STT9</v>
      </c>
      <c r="C621" s="1" t="str">
        <f>MID(LEFT(Table1[[#This Row],[Item]], FIND("{token}", SUBSTITUTE(Table1[[#This Row],[Item]], "-", "{token}", 2)) - 1), FIND("-", Table1[[#This Row],[Item]]) + 1, LEN(Table1[[#This Row],[Item]]))</f>
        <v>N</v>
      </c>
      <c r="D62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2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21" s="1" cm="1">
        <f t="array" ref="F621">VALUE(INDEX(_xlfn.TEXTSPLIT(Table1[[#This Row],[Item]], "-"), 5))</f>
        <v>0</v>
      </c>
      <c r="G621" s="1" cm="1">
        <f t="array" ref="G621">VALUE(INDEX(_xlfn.TEXTSPLIT(Table1[[#This Row],[Item]], "-"), 6))</f>
        <v>0</v>
      </c>
      <c r="H621" s="1" cm="1">
        <f t="array" ref="H621">VALUE(INDEX(_xlfn.TEXTSPLIT(Table1[[#This Row],[Item]], "-"), 7))</f>
        <v>0</v>
      </c>
      <c r="I621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621" s="1" t="str">
        <f>LEFT(RIGHT(Table1[[#This Row],[Item]],6),1)</f>
        <v>Y</v>
      </c>
      <c r="K621" s="1" t="str">
        <f t="shared" si="10"/>
        <v>N</v>
      </c>
      <c r="L621" s="1" t="str">
        <f>RIGHT(Table1[[#This Row],[Item]],2)</f>
        <v>BR</v>
      </c>
      <c r="M621" s="1" t="s">
        <v>33</v>
      </c>
      <c r="N621" s="3" t="s">
        <v>641</v>
      </c>
      <c r="O621" s="1"/>
    </row>
    <row r="622" spans="1:15" ht="15" customHeight="1">
      <c r="A622" t="s">
        <v>642</v>
      </c>
      <c r="B622" s="1" t="str">
        <f>LEFT(Table1[[#This Row],[Item]], FIND("-", Table1[[#This Row],[Item]]) - 1)</f>
        <v>GX10</v>
      </c>
      <c r="C622" s="1" t="str">
        <f>MID(LEFT(Table1[[#This Row],[Item]], FIND("{token}", SUBSTITUTE(Table1[[#This Row],[Item]], "-", "{token}", 2)) - 1), FIND("-", Table1[[#This Row],[Item]]) + 1, LEN(Table1[[#This Row],[Item]]))</f>
        <v>LXL</v>
      </c>
      <c r="D622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62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622" s="1" cm="1">
        <f t="array" ref="F622">VALUE(INDEX(_xlfn.TEXTSPLIT(Table1[[#This Row],[Item]], "-"), 5))</f>
        <v>1</v>
      </c>
      <c r="G622" s="1" cm="1">
        <f t="array" ref="G622">VALUE(INDEX(_xlfn.TEXTSPLIT(Table1[[#This Row],[Item]], "-"), 6))</f>
        <v>2</v>
      </c>
      <c r="H622" s="1" cm="1">
        <f t="array" ref="H622">VALUE(INDEX(_xlfn.TEXTSPLIT(Table1[[#This Row],[Item]], "-"), 7))</f>
        <v>0</v>
      </c>
      <c r="I62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22" s="1" t="str">
        <f>LEFT(RIGHT(Table1[[#This Row],[Item]],6),1)</f>
        <v>N</v>
      </c>
      <c r="K622" s="1" t="str">
        <f t="shared" si="10"/>
        <v>N</v>
      </c>
      <c r="L622" s="1" t="str">
        <f>RIGHT(Table1[[#This Row],[Item]],2)</f>
        <v>BR</v>
      </c>
      <c r="M622" s="1" t="s">
        <v>33</v>
      </c>
      <c r="N622" s="3" t="s">
        <v>642</v>
      </c>
      <c r="O622" s="1"/>
    </row>
    <row r="623" spans="1:15" ht="15" customHeight="1">
      <c r="A623" t="s">
        <v>643</v>
      </c>
      <c r="B623" s="1" t="str">
        <f>LEFT(Table1[[#This Row],[Item]], FIND("-", Table1[[#This Row],[Item]]) - 1)</f>
        <v>GX10</v>
      </c>
      <c r="C623" s="1" t="str">
        <f>MID(LEFT(Table1[[#This Row],[Item]], FIND("{token}", SUBSTITUTE(Table1[[#This Row],[Item]], "-", "{token}", 2)) - 1), FIND("-", Table1[[#This Row],[Item]]) + 1, LEN(Table1[[#This Row],[Item]]))</f>
        <v>D</v>
      </c>
      <c r="D623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62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D2</v>
      </c>
      <c r="F623" s="1" cm="1">
        <f t="array" ref="F623">VALUE(INDEX(_xlfn.TEXTSPLIT(Table1[[#This Row],[Item]], "-"), 5))</f>
        <v>1</v>
      </c>
      <c r="G623" s="1" cm="1">
        <f t="array" ref="G623">VALUE(INDEX(_xlfn.TEXTSPLIT(Table1[[#This Row],[Item]], "-"), 6))</f>
        <v>1</v>
      </c>
      <c r="H623" s="1" cm="1">
        <f t="array" ref="H623">VALUE(INDEX(_xlfn.TEXTSPLIT(Table1[[#This Row],[Item]], "-"), 7))</f>
        <v>0</v>
      </c>
      <c r="I62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23" s="1" t="str">
        <f>LEFT(RIGHT(Table1[[#This Row],[Item]],6),1)</f>
        <v>N</v>
      </c>
      <c r="K623" s="1" t="str">
        <f t="shared" si="10"/>
        <v>N</v>
      </c>
      <c r="L623" s="1" t="str">
        <f>RIGHT(Table1[[#This Row],[Item]],2)</f>
        <v>BR</v>
      </c>
      <c r="M623" s="1" t="s">
        <v>33</v>
      </c>
      <c r="N623" s="3" t="s">
        <v>643</v>
      </c>
      <c r="O623" s="1"/>
    </row>
    <row r="624" spans="1:15" ht="15" customHeight="1">
      <c r="A624" t="s">
        <v>644</v>
      </c>
      <c r="B624" s="1" t="str">
        <f>LEFT(Table1[[#This Row],[Item]], FIND("-", Table1[[#This Row],[Item]]) - 1)</f>
        <v>GX09</v>
      </c>
      <c r="C624" s="1" t="str">
        <f>MID(LEFT(Table1[[#This Row],[Item]], FIND("{token}", SUBSTITUTE(Table1[[#This Row],[Item]], "-", "{token}", 2)) - 1), FIND("-", Table1[[#This Row],[Item]]) + 1, LEN(Table1[[#This Row],[Item]]))</f>
        <v>L</v>
      </c>
      <c r="D624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62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24" s="1" cm="1">
        <f t="array" ref="F624">VALUE(INDEX(_xlfn.TEXTSPLIT(Table1[[#This Row],[Item]], "-"), 5))</f>
        <v>1</v>
      </c>
      <c r="G624" s="1" cm="1">
        <f t="array" ref="G624">VALUE(INDEX(_xlfn.TEXTSPLIT(Table1[[#This Row],[Item]], "-"), 6))</f>
        <v>1</v>
      </c>
      <c r="H624" s="1" cm="1">
        <f t="array" ref="H624">VALUE(INDEX(_xlfn.TEXTSPLIT(Table1[[#This Row],[Item]], "-"), 7))</f>
        <v>0</v>
      </c>
      <c r="I62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24" s="1" t="str">
        <f>LEFT(RIGHT(Table1[[#This Row],[Item]],6),1)</f>
        <v>N</v>
      </c>
      <c r="K624" s="1" t="str">
        <f t="shared" si="10"/>
        <v>N</v>
      </c>
      <c r="L624" s="1" t="str">
        <f>RIGHT(Table1[[#This Row],[Item]],2)</f>
        <v>BR</v>
      </c>
      <c r="M624" s="1" t="s">
        <v>33</v>
      </c>
      <c r="N624" s="3" t="s">
        <v>644</v>
      </c>
      <c r="O624" s="1"/>
    </row>
    <row r="625" spans="1:15" ht="15" customHeight="1">
      <c r="A625" t="s">
        <v>645</v>
      </c>
      <c r="B625" s="1" t="str">
        <f>LEFT(Table1[[#This Row],[Item]], FIND("-", Table1[[#This Row],[Item]]) - 1)</f>
        <v>GX08</v>
      </c>
      <c r="C625" s="1" t="str">
        <f>MID(LEFT(Table1[[#This Row],[Item]], FIND("{token}", SUBSTITUTE(Table1[[#This Row],[Item]], "-", "{token}", 2)) - 1), FIND("-", Table1[[#This Row],[Item]]) + 1, LEN(Table1[[#This Row],[Item]]))</f>
        <v>C</v>
      </c>
      <c r="D62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2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625" s="1" cm="1">
        <f t="array" ref="F625">VALUE(INDEX(_xlfn.TEXTSPLIT(Table1[[#This Row],[Item]], "-"), 5))</f>
        <v>1</v>
      </c>
      <c r="G625" s="1" cm="1">
        <f t="array" ref="G625">VALUE(INDEX(_xlfn.TEXTSPLIT(Table1[[#This Row],[Item]], "-"), 6))</f>
        <v>1</v>
      </c>
      <c r="H625" s="1" cm="1">
        <f t="array" ref="H625">VALUE(INDEX(_xlfn.TEXTSPLIT(Table1[[#This Row],[Item]], "-"), 7))</f>
        <v>0</v>
      </c>
      <c r="I62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25" s="1" t="str">
        <f>LEFT(RIGHT(Table1[[#This Row],[Item]],6),1)</f>
        <v>N</v>
      </c>
      <c r="K625" s="1" t="str">
        <f t="shared" si="10"/>
        <v>N</v>
      </c>
      <c r="L625" s="1" t="str">
        <f>RIGHT(Table1[[#This Row],[Item]],2)</f>
        <v>BR</v>
      </c>
      <c r="M625" s="1" t="s">
        <v>33</v>
      </c>
      <c r="N625" s="3" t="s">
        <v>645</v>
      </c>
      <c r="O625" s="1"/>
    </row>
    <row r="626" spans="1:15" ht="15" customHeight="1">
      <c r="A626" t="s">
        <v>646</v>
      </c>
      <c r="B626" s="1" t="str">
        <f>LEFT(Table1[[#This Row],[Item]], FIND("-", Table1[[#This Row],[Item]]) - 1)</f>
        <v>GX06</v>
      </c>
      <c r="C626" s="1" t="str">
        <f>MID(LEFT(Table1[[#This Row],[Item]], FIND("{token}", SUBSTITUTE(Table1[[#This Row],[Item]], "-", "{token}", 2)) - 1), FIND("-", Table1[[#This Row],[Item]]) + 1, LEN(Table1[[#This Row],[Item]]))</f>
        <v>R</v>
      </c>
      <c r="D62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2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626" s="1" cm="1">
        <f t="array" ref="F626">VALUE(INDEX(_xlfn.TEXTSPLIT(Table1[[#This Row],[Item]], "-"), 5))</f>
        <v>1</v>
      </c>
      <c r="G626" s="1" cm="1">
        <f t="array" ref="G626">VALUE(INDEX(_xlfn.TEXTSPLIT(Table1[[#This Row],[Item]], "-"), 6))</f>
        <v>1</v>
      </c>
      <c r="H626" s="1" cm="1">
        <f t="array" ref="H626">VALUE(INDEX(_xlfn.TEXTSPLIT(Table1[[#This Row],[Item]], "-"), 7))</f>
        <v>0</v>
      </c>
      <c r="I62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26" s="1" t="str">
        <f>LEFT(RIGHT(Table1[[#This Row],[Item]],6),1)</f>
        <v>N</v>
      </c>
      <c r="K626" s="1" t="str">
        <f t="shared" si="10"/>
        <v>N</v>
      </c>
      <c r="L626" s="1" t="str">
        <f>RIGHT(Table1[[#This Row],[Item]],2)</f>
        <v>BR</v>
      </c>
      <c r="M626" s="1" t="s">
        <v>33</v>
      </c>
      <c r="N626" s="3" t="s">
        <v>646</v>
      </c>
      <c r="O626" s="1"/>
    </row>
    <row r="627" spans="1:15" ht="15" customHeight="1">
      <c r="A627" t="s">
        <v>647</v>
      </c>
      <c r="B627" s="1" t="str">
        <f>LEFT(Table1[[#This Row],[Item]], FIND("-", Table1[[#This Row],[Item]]) - 1)</f>
        <v>ARB8</v>
      </c>
      <c r="C627" s="1" t="str">
        <f>MID(LEFT(Table1[[#This Row],[Item]], FIND("{token}", SUBSTITUTE(Table1[[#This Row],[Item]], "-", "{token}", 2)) - 1), FIND("-", Table1[[#This Row],[Item]]) + 1, LEN(Table1[[#This Row],[Item]]))</f>
        <v>L</v>
      </c>
      <c r="D627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62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27" s="1" cm="1">
        <f t="array" ref="F627">VALUE(INDEX(_xlfn.TEXTSPLIT(Table1[[#This Row],[Item]], "-"), 5))</f>
        <v>1</v>
      </c>
      <c r="G627" s="1" cm="1">
        <f t="array" ref="G627">VALUE(INDEX(_xlfn.TEXTSPLIT(Table1[[#This Row],[Item]], "-"), 6))</f>
        <v>0</v>
      </c>
      <c r="H627" s="1" cm="1">
        <f t="array" ref="H627">VALUE(INDEX(_xlfn.TEXTSPLIT(Table1[[#This Row],[Item]], "-"), 7))</f>
        <v>0</v>
      </c>
      <c r="I627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27" s="1" t="str">
        <f>LEFT(RIGHT(Table1[[#This Row],[Item]],6),1)</f>
        <v>Y</v>
      </c>
      <c r="K627" s="1" t="str">
        <f t="shared" si="10"/>
        <v>N</v>
      </c>
      <c r="L627" s="1" t="str">
        <f>RIGHT(Table1[[#This Row],[Item]],2)</f>
        <v>BR</v>
      </c>
      <c r="M627" s="1" t="s">
        <v>33</v>
      </c>
      <c r="N627" s="3" t="s">
        <v>647</v>
      </c>
      <c r="O627" s="1"/>
    </row>
    <row r="628" spans="1:15" ht="15" customHeight="1">
      <c r="A628" t="s">
        <v>648</v>
      </c>
      <c r="B628" s="1" t="str">
        <f>LEFT(Table1[[#This Row],[Item]], FIND("-", Table1[[#This Row],[Item]]) - 1)</f>
        <v>GX12</v>
      </c>
      <c r="C628" s="1" t="str">
        <f>MID(LEFT(Table1[[#This Row],[Item]], FIND("{token}", SUBSTITUTE(Table1[[#This Row],[Item]], "-", "{token}", 2)) - 1), FIND("-", Table1[[#This Row],[Item]]) + 1, LEN(Table1[[#This Row],[Item]]))</f>
        <v>D</v>
      </c>
      <c r="D62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62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D2</v>
      </c>
      <c r="F628" s="1" cm="1">
        <f t="array" ref="F628">VALUE(INDEX(_xlfn.TEXTSPLIT(Table1[[#This Row],[Item]], "-"), 5))</f>
        <v>1</v>
      </c>
      <c r="G628" s="1" cm="1">
        <f t="array" ref="G628">VALUE(INDEX(_xlfn.TEXTSPLIT(Table1[[#This Row],[Item]], "-"), 6))</f>
        <v>2</v>
      </c>
      <c r="H628" s="1" cm="1">
        <f t="array" ref="H628">VALUE(INDEX(_xlfn.TEXTSPLIT(Table1[[#This Row],[Item]], "-"), 7))</f>
        <v>0</v>
      </c>
      <c r="I62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28" s="1" t="str">
        <f>LEFT(RIGHT(Table1[[#This Row],[Item]],6),1)</f>
        <v>N</v>
      </c>
      <c r="K628" s="1" t="str">
        <f t="shared" si="10"/>
        <v>N</v>
      </c>
      <c r="L628" s="1" t="str">
        <f>RIGHT(Table1[[#This Row],[Item]],2)</f>
        <v>BR</v>
      </c>
      <c r="M628" s="1" t="s">
        <v>33</v>
      </c>
      <c r="N628" s="3" t="s">
        <v>648</v>
      </c>
      <c r="O628" s="1"/>
    </row>
    <row r="629" spans="1:15" ht="15" customHeight="1">
      <c r="A629" t="s">
        <v>649</v>
      </c>
      <c r="B629" s="1" t="str">
        <f>LEFT(Table1[[#This Row],[Item]], FIND("-", Table1[[#This Row],[Item]]) - 1)</f>
        <v>GX08</v>
      </c>
      <c r="C629" s="1" t="str">
        <f>MID(LEFT(Table1[[#This Row],[Item]], FIND("{token}", SUBSTITUTE(Table1[[#This Row],[Item]], "-", "{token}", 2)) - 1), FIND("-", Table1[[#This Row],[Item]]) + 1, LEN(Table1[[#This Row],[Item]]))</f>
        <v>C</v>
      </c>
      <c r="D629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62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629" s="1" cm="1">
        <f t="array" ref="F629">VALUE(INDEX(_xlfn.TEXTSPLIT(Table1[[#This Row],[Item]], "-"), 5))</f>
        <v>1</v>
      </c>
      <c r="G629" s="1" cm="1">
        <f t="array" ref="G629">VALUE(INDEX(_xlfn.TEXTSPLIT(Table1[[#This Row],[Item]], "-"), 6))</f>
        <v>1</v>
      </c>
      <c r="H629" s="1" cm="1">
        <f t="array" ref="H629">VALUE(INDEX(_xlfn.TEXTSPLIT(Table1[[#This Row],[Item]], "-"), 7))</f>
        <v>0</v>
      </c>
      <c r="I62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29" s="1" t="str">
        <f>LEFT(RIGHT(Table1[[#This Row],[Item]],6),1)</f>
        <v>N</v>
      </c>
      <c r="K629" s="1" t="str">
        <f t="shared" si="10"/>
        <v>N</v>
      </c>
      <c r="L629" s="1" t="str">
        <f>RIGHT(Table1[[#This Row],[Item]],2)</f>
        <v>BR</v>
      </c>
      <c r="M629" s="1" t="s">
        <v>33</v>
      </c>
      <c r="N629" s="3" t="s">
        <v>649</v>
      </c>
      <c r="O629" s="1"/>
    </row>
    <row r="630" spans="1:15" ht="15" customHeight="1">
      <c r="A630" t="s">
        <v>650</v>
      </c>
      <c r="B630" s="1" t="str">
        <f>LEFT(Table1[[#This Row],[Item]], FIND("-", Table1[[#This Row],[Item]]) - 1)</f>
        <v>GX10</v>
      </c>
      <c r="C630" s="1" t="str">
        <f>MID(LEFT(Table1[[#This Row],[Item]], FIND("{token}", SUBSTITUTE(Table1[[#This Row],[Item]], "-", "{token}", 2)) - 1), FIND("-", Table1[[#This Row],[Item]]) + 1, LEN(Table1[[#This Row],[Item]]))</f>
        <v>C</v>
      </c>
      <c r="D630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63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30" s="1" cm="1">
        <f t="array" ref="F630">VALUE(INDEX(_xlfn.TEXTSPLIT(Table1[[#This Row],[Item]], "-"), 5))</f>
        <v>1</v>
      </c>
      <c r="G630" s="1" cm="1">
        <f t="array" ref="G630">VALUE(INDEX(_xlfn.TEXTSPLIT(Table1[[#This Row],[Item]], "-"), 6))</f>
        <v>1</v>
      </c>
      <c r="H630" s="1" cm="1">
        <f t="array" ref="H630">VALUE(INDEX(_xlfn.TEXTSPLIT(Table1[[#This Row],[Item]], "-"), 7))</f>
        <v>0</v>
      </c>
      <c r="I63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30" s="1" t="str">
        <f>LEFT(RIGHT(Table1[[#This Row],[Item]],6),1)</f>
        <v>N</v>
      </c>
      <c r="K630" s="1" t="str">
        <f t="shared" si="10"/>
        <v>N</v>
      </c>
      <c r="L630" s="1" t="str">
        <f>RIGHT(Table1[[#This Row],[Item]],2)</f>
        <v>BR</v>
      </c>
      <c r="M630" s="1" t="s">
        <v>33</v>
      </c>
      <c r="N630" s="3" t="s">
        <v>650</v>
      </c>
      <c r="O630" s="1"/>
    </row>
    <row r="631" spans="1:15" ht="15" customHeight="1">
      <c r="A631" t="s">
        <v>651</v>
      </c>
      <c r="B631" s="1" t="str">
        <f>LEFT(Table1[[#This Row],[Item]], FIND("-", Table1[[#This Row],[Item]]) - 1)</f>
        <v>GX06</v>
      </c>
      <c r="C631" s="1" t="str">
        <f>MID(LEFT(Table1[[#This Row],[Item]], FIND("{token}", SUBSTITUTE(Table1[[#This Row],[Item]], "-", "{token}", 2)) - 1), FIND("-", Table1[[#This Row],[Item]]) + 1, LEN(Table1[[#This Row],[Item]]))</f>
        <v>R</v>
      </c>
      <c r="D63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63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631" s="1" cm="1">
        <f t="array" ref="F631">VALUE(INDEX(_xlfn.TEXTSPLIT(Table1[[#This Row],[Item]], "-"), 5))</f>
        <v>1</v>
      </c>
      <c r="G631" s="1" cm="1">
        <f t="array" ref="G631">VALUE(INDEX(_xlfn.TEXTSPLIT(Table1[[#This Row],[Item]], "-"), 6))</f>
        <v>1</v>
      </c>
      <c r="H631" s="1" cm="1">
        <f t="array" ref="H631">VALUE(INDEX(_xlfn.TEXTSPLIT(Table1[[#This Row],[Item]], "-"), 7))</f>
        <v>0</v>
      </c>
      <c r="I63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31" s="1" t="str">
        <f>LEFT(RIGHT(Table1[[#This Row],[Item]],6),1)</f>
        <v>N</v>
      </c>
      <c r="K631" s="1" t="str">
        <f t="shared" si="10"/>
        <v>N</v>
      </c>
      <c r="L631" s="1" t="str">
        <f>RIGHT(Table1[[#This Row],[Item]],2)</f>
        <v>BR</v>
      </c>
      <c r="M631" s="1" t="s">
        <v>33</v>
      </c>
      <c r="N631" s="3" t="s">
        <v>651</v>
      </c>
      <c r="O631" s="1"/>
    </row>
    <row r="632" spans="1:15" ht="15" customHeight="1">
      <c r="A632" t="s">
        <v>652</v>
      </c>
      <c r="B632" s="1" t="str">
        <f>LEFT(Table1[[#This Row],[Item]], FIND("-", Table1[[#This Row],[Item]]) - 1)</f>
        <v>GX08</v>
      </c>
      <c r="C632" s="1" t="str">
        <f>MID(LEFT(Table1[[#This Row],[Item]], FIND("{token}", SUBSTITUTE(Table1[[#This Row],[Item]], "-", "{token}", 2)) - 1), FIND("-", Table1[[#This Row],[Item]]) + 1, LEN(Table1[[#This Row],[Item]]))</f>
        <v>L</v>
      </c>
      <c r="D632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63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32" s="1" cm="1">
        <f t="array" ref="F632">VALUE(INDEX(_xlfn.TEXTSPLIT(Table1[[#This Row],[Item]], "-"), 5))</f>
        <v>1</v>
      </c>
      <c r="G632" s="1" cm="1">
        <f t="array" ref="G632">VALUE(INDEX(_xlfn.TEXTSPLIT(Table1[[#This Row],[Item]], "-"), 6))</f>
        <v>1</v>
      </c>
      <c r="H632" s="1" cm="1">
        <f t="array" ref="H632">VALUE(INDEX(_xlfn.TEXTSPLIT(Table1[[#This Row],[Item]], "-"), 7))</f>
        <v>0</v>
      </c>
      <c r="I63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32" s="1" t="str">
        <f>LEFT(RIGHT(Table1[[#This Row],[Item]],6),1)</f>
        <v>N</v>
      </c>
      <c r="K632" s="1" t="str">
        <f t="shared" si="10"/>
        <v>N</v>
      </c>
      <c r="L632" s="1" t="str">
        <f>RIGHT(Table1[[#This Row],[Item]],2)</f>
        <v>BR</v>
      </c>
      <c r="M632" s="1" t="s">
        <v>33</v>
      </c>
      <c r="N632" s="3" t="s">
        <v>652</v>
      </c>
      <c r="O632" s="1"/>
    </row>
    <row r="633" spans="1:15" ht="15" customHeight="1">
      <c r="A633" t="s">
        <v>653</v>
      </c>
      <c r="B633" s="1" t="str">
        <f>LEFT(Table1[[#This Row],[Item]], FIND("-", Table1[[#This Row],[Item]]) - 1)</f>
        <v>GX14</v>
      </c>
      <c r="C633" s="1" t="str">
        <f>MID(LEFT(Table1[[#This Row],[Item]], FIND("{token}", SUBSTITUTE(Table1[[#This Row],[Item]], "-", "{token}", 2)) - 1), FIND("-", Table1[[#This Row],[Item]]) + 1, LEN(Table1[[#This Row],[Item]]))</f>
        <v>CXL</v>
      </c>
      <c r="D633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63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633" s="1" cm="1">
        <f t="array" ref="F633">VALUE(INDEX(_xlfn.TEXTSPLIT(Table1[[#This Row],[Item]], "-"), 5))</f>
        <v>2</v>
      </c>
      <c r="G633" s="1" cm="1">
        <f t="array" ref="G633">VALUE(INDEX(_xlfn.TEXTSPLIT(Table1[[#This Row],[Item]], "-"), 6))</f>
        <v>2</v>
      </c>
      <c r="H633" s="1" cm="1">
        <f t="array" ref="H633">VALUE(INDEX(_xlfn.TEXTSPLIT(Table1[[#This Row],[Item]], "-"), 7))</f>
        <v>0</v>
      </c>
      <c r="I63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33" s="1" t="str">
        <f>LEFT(RIGHT(Table1[[#This Row],[Item]],6),1)</f>
        <v>N</v>
      </c>
      <c r="K633" s="1" t="str">
        <f t="shared" si="10"/>
        <v>N</v>
      </c>
      <c r="L633" s="1" t="str">
        <f>RIGHT(Table1[[#This Row],[Item]],2)</f>
        <v>BR</v>
      </c>
      <c r="M633" s="1" t="s">
        <v>33</v>
      </c>
      <c r="N633" s="3" t="s">
        <v>653</v>
      </c>
      <c r="O633" s="1"/>
    </row>
    <row r="634" spans="1:15" ht="15" customHeight="1">
      <c r="A634" t="s">
        <v>654</v>
      </c>
      <c r="B634" s="1" t="str">
        <f>LEFT(Table1[[#This Row],[Item]], FIND("-", Table1[[#This Row],[Item]]) - 1)</f>
        <v>ARB8</v>
      </c>
      <c r="C634" s="1" t="str">
        <f>MID(LEFT(Table1[[#This Row],[Item]], FIND("{token}", SUBSTITUTE(Table1[[#This Row],[Item]], "-", "{token}", 2)) - 1), FIND("-", Table1[[#This Row],[Item]]) + 1, LEN(Table1[[#This Row],[Item]]))</f>
        <v>L</v>
      </c>
      <c r="D634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63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634" s="1" cm="1">
        <f t="array" ref="F634">VALUE(INDEX(_xlfn.TEXTSPLIT(Table1[[#This Row],[Item]], "-"), 5))</f>
        <v>1</v>
      </c>
      <c r="G634" s="1" cm="1">
        <f t="array" ref="G634">VALUE(INDEX(_xlfn.TEXTSPLIT(Table1[[#This Row],[Item]], "-"), 6))</f>
        <v>1</v>
      </c>
      <c r="H634" s="1" cm="1">
        <f t="array" ref="H634">VALUE(INDEX(_xlfn.TEXTSPLIT(Table1[[#This Row],[Item]], "-"), 7))</f>
        <v>0</v>
      </c>
      <c r="I634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34" s="1" t="str">
        <f>LEFT(RIGHT(Table1[[#This Row],[Item]],6),1)</f>
        <v>Y</v>
      </c>
      <c r="K634" s="1" t="str">
        <f t="shared" si="10"/>
        <v>Y</v>
      </c>
      <c r="L634" s="1" t="str">
        <f>RIGHT(Table1[[#This Row],[Item]],2)</f>
        <v>BR</v>
      </c>
      <c r="M634" s="1" t="s">
        <v>33</v>
      </c>
      <c r="N634" s="3" t="s">
        <v>654</v>
      </c>
      <c r="O634" s="1"/>
    </row>
    <row r="635" spans="1:15" ht="15" customHeight="1">
      <c r="A635" t="s">
        <v>655</v>
      </c>
      <c r="B635" s="1" t="str">
        <f>LEFT(Table1[[#This Row],[Item]], FIND("-", Table1[[#This Row],[Item]]) - 1)</f>
        <v>GX10</v>
      </c>
      <c r="C635" s="1" t="str">
        <f>MID(LEFT(Table1[[#This Row],[Item]], FIND("{token}", SUBSTITUTE(Table1[[#This Row],[Item]], "-", "{token}", 2)) - 1), FIND("-", Table1[[#This Row],[Item]]) + 1, LEN(Table1[[#This Row],[Item]]))</f>
        <v>RXL</v>
      </c>
      <c r="D63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3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35" s="1" cm="1">
        <f t="array" ref="F635">VALUE(INDEX(_xlfn.TEXTSPLIT(Table1[[#This Row],[Item]], "-"), 5))</f>
        <v>1</v>
      </c>
      <c r="G635" s="1" cm="1">
        <f t="array" ref="G635">VALUE(INDEX(_xlfn.TEXTSPLIT(Table1[[#This Row],[Item]], "-"), 6))</f>
        <v>2</v>
      </c>
      <c r="H635" s="1" cm="1">
        <f t="array" ref="H635">VALUE(INDEX(_xlfn.TEXTSPLIT(Table1[[#This Row],[Item]], "-"), 7))</f>
        <v>0</v>
      </c>
      <c r="I63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35" s="1" t="str">
        <f>LEFT(RIGHT(Table1[[#This Row],[Item]],6),1)</f>
        <v>N</v>
      </c>
      <c r="K635" s="1" t="str">
        <f t="shared" si="10"/>
        <v>N</v>
      </c>
      <c r="L635" s="1" t="str">
        <f>RIGHT(Table1[[#This Row],[Item]],2)</f>
        <v>BR</v>
      </c>
      <c r="M635" s="1" t="s">
        <v>33</v>
      </c>
      <c r="N635" s="3" t="s">
        <v>655</v>
      </c>
      <c r="O635" s="1"/>
    </row>
    <row r="636" spans="1:15" ht="15" customHeight="1">
      <c r="A636" t="s">
        <v>656</v>
      </c>
      <c r="B636" s="1" t="str">
        <f>LEFT(Table1[[#This Row],[Item]], FIND("-", Table1[[#This Row],[Item]]) - 1)</f>
        <v>PRT9</v>
      </c>
      <c r="C636" s="1" t="str">
        <f>MID(LEFT(Table1[[#This Row],[Item]], FIND("{token}", SUBSTITUTE(Table1[[#This Row],[Item]], "-", "{token}", 2)) - 1), FIND("-", Table1[[#This Row],[Item]]) + 1, LEN(Table1[[#This Row],[Item]]))</f>
        <v>N</v>
      </c>
      <c r="D63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3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636" s="1" cm="1">
        <f t="array" ref="F636">VALUE(INDEX(_xlfn.TEXTSPLIT(Table1[[#This Row],[Item]], "-"), 5))</f>
        <v>2</v>
      </c>
      <c r="G636" s="1" cm="1">
        <f t="array" ref="G636">VALUE(INDEX(_xlfn.TEXTSPLIT(Table1[[#This Row],[Item]], "-"), 6))</f>
        <v>0</v>
      </c>
      <c r="H636" s="1" cm="1">
        <f t="array" ref="H636">VALUE(INDEX(_xlfn.TEXTSPLIT(Table1[[#This Row],[Item]], "-"), 7))</f>
        <v>0</v>
      </c>
      <c r="I63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36" s="1" t="str">
        <f>LEFT(RIGHT(Table1[[#This Row],[Item]],6),1)</f>
        <v>Y</v>
      </c>
      <c r="K636" s="1" t="str">
        <f t="shared" si="10"/>
        <v>Y</v>
      </c>
      <c r="L636" s="1" t="str">
        <f>RIGHT(Table1[[#This Row],[Item]],2)</f>
        <v>BR</v>
      </c>
      <c r="M636" s="1" t="s">
        <v>33</v>
      </c>
      <c r="N636" s="3" t="s">
        <v>656</v>
      </c>
      <c r="O636" s="1"/>
    </row>
    <row r="637" spans="1:15" ht="15" customHeight="1">
      <c r="A637" t="s">
        <v>657</v>
      </c>
      <c r="B637" s="1" t="str">
        <f>LEFT(Table1[[#This Row],[Item]], FIND("-", Table1[[#This Row],[Item]]) - 1)</f>
        <v>GX10</v>
      </c>
      <c r="C637" s="1" t="str">
        <f>MID(LEFT(Table1[[#This Row],[Item]], FIND("{token}", SUBSTITUTE(Table1[[#This Row],[Item]], "-", "{token}", 2)) - 1), FIND("-", Table1[[#This Row],[Item]]) + 1, LEN(Table1[[#This Row],[Item]]))</f>
        <v>C</v>
      </c>
      <c r="D63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3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37" s="1" cm="1">
        <f t="array" ref="F637">VALUE(INDEX(_xlfn.TEXTSPLIT(Table1[[#This Row],[Item]], "-"), 5))</f>
        <v>1</v>
      </c>
      <c r="G637" s="1" cm="1">
        <f t="array" ref="G637">VALUE(INDEX(_xlfn.TEXTSPLIT(Table1[[#This Row],[Item]], "-"), 6))</f>
        <v>1</v>
      </c>
      <c r="H637" s="1" cm="1">
        <f t="array" ref="H637">VALUE(INDEX(_xlfn.TEXTSPLIT(Table1[[#This Row],[Item]], "-"), 7))</f>
        <v>0</v>
      </c>
      <c r="I63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37" s="1" t="str">
        <f>LEFT(RIGHT(Table1[[#This Row],[Item]],6),1)</f>
        <v>N</v>
      </c>
      <c r="K637" s="1" t="str">
        <f t="shared" si="10"/>
        <v>N</v>
      </c>
      <c r="L637" s="1" t="str">
        <f>RIGHT(Table1[[#This Row],[Item]],2)</f>
        <v>BR</v>
      </c>
      <c r="M637" s="1" t="s">
        <v>33</v>
      </c>
      <c r="N637" s="3" t="s">
        <v>657</v>
      </c>
      <c r="O637" s="1"/>
    </row>
    <row r="638" spans="1:15" ht="15" customHeight="1">
      <c r="A638" t="s">
        <v>658</v>
      </c>
      <c r="B638" s="1" t="str">
        <f>LEFT(Table1[[#This Row],[Item]], FIND("-", Table1[[#This Row],[Item]]) - 1)</f>
        <v>GX10</v>
      </c>
      <c r="C638" s="1" t="str">
        <f>MID(LEFT(Table1[[#This Row],[Item]], FIND("{token}", SUBSTITUTE(Table1[[#This Row],[Item]], "-", "{token}", 2)) - 1), FIND("-", Table1[[#This Row],[Item]]) + 1, LEN(Table1[[#This Row],[Item]]))</f>
        <v>R</v>
      </c>
      <c r="D63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63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638" s="1" cm="1">
        <f t="array" ref="F638">VALUE(INDEX(_xlfn.TEXTSPLIT(Table1[[#This Row],[Item]], "-"), 5))</f>
        <v>1</v>
      </c>
      <c r="G638" s="1" cm="1">
        <f t="array" ref="G638">VALUE(INDEX(_xlfn.TEXTSPLIT(Table1[[#This Row],[Item]], "-"), 6))</f>
        <v>2</v>
      </c>
      <c r="H638" s="1" cm="1">
        <f t="array" ref="H638">VALUE(INDEX(_xlfn.TEXTSPLIT(Table1[[#This Row],[Item]], "-"), 7))</f>
        <v>0</v>
      </c>
      <c r="I63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38" s="1" t="str">
        <f>LEFT(RIGHT(Table1[[#This Row],[Item]],6),1)</f>
        <v>N</v>
      </c>
      <c r="K638" s="1" t="str">
        <f t="shared" si="10"/>
        <v>N</v>
      </c>
      <c r="L638" s="1" t="str">
        <f>RIGHT(Table1[[#This Row],[Item]],2)</f>
        <v>BR</v>
      </c>
      <c r="M638" s="1" t="s">
        <v>33</v>
      </c>
      <c r="N638" s="3" t="s">
        <v>658</v>
      </c>
      <c r="O638" s="1"/>
    </row>
    <row r="639" spans="1:15" ht="15" customHeight="1">
      <c r="A639" t="s">
        <v>659</v>
      </c>
      <c r="B639" s="1" t="str">
        <f>LEFT(Table1[[#This Row],[Item]], FIND("-", Table1[[#This Row],[Item]]) - 1)</f>
        <v>GX08</v>
      </c>
      <c r="C639" s="1" t="str">
        <f>MID(LEFT(Table1[[#This Row],[Item]], FIND("{token}", SUBSTITUTE(Table1[[#This Row],[Item]], "-", "{token}", 2)) - 1), FIND("-", Table1[[#This Row],[Item]]) + 1, LEN(Table1[[#This Row],[Item]]))</f>
        <v>L</v>
      </c>
      <c r="D63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3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639" s="1" cm="1">
        <f t="array" ref="F639">VALUE(INDEX(_xlfn.TEXTSPLIT(Table1[[#This Row],[Item]], "-"), 5))</f>
        <v>1</v>
      </c>
      <c r="G639" s="1" cm="1">
        <f t="array" ref="G639">VALUE(INDEX(_xlfn.TEXTSPLIT(Table1[[#This Row],[Item]], "-"), 6))</f>
        <v>1</v>
      </c>
      <c r="H639" s="1" cm="1">
        <f t="array" ref="H639">VALUE(INDEX(_xlfn.TEXTSPLIT(Table1[[#This Row],[Item]], "-"), 7))</f>
        <v>0</v>
      </c>
      <c r="I63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39" s="1" t="str">
        <f>LEFT(RIGHT(Table1[[#This Row],[Item]],6),1)</f>
        <v>N</v>
      </c>
      <c r="K639" s="1" t="str">
        <f t="shared" si="10"/>
        <v>N</v>
      </c>
      <c r="L639" s="1" t="str">
        <f>RIGHT(Table1[[#This Row],[Item]],2)</f>
        <v>BR</v>
      </c>
      <c r="M639" s="1" t="s">
        <v>33</v>
      </c>
      <c r="N639" s="3" t="s">
        <v>659</v>
      </c>
      <c r="O639" s="1"/>
    </row>
    <row r="640" spans="1:15" ht="15" customHeight="1">
      <c r="A640" t="s">
        <v>660</v>
      </c>
      <c r="B640" s="1" t="str">
        <f>LEFT(Table1[[#This Row],[Item]], FIND("-", Table1[[#This Row],[Item]]) - 1)</f>
        <v>GX09</v>
      </c>
      <c r="C640" s="1" t="str">
        <f>MID(LEFT(Table1[[#This Row],[Item]], FIND("{token}", SUBSTITUTE(Table1[[#This Row],[Item]], "-", "{token}", 2)) - 1), FIND("-", Table1[[#This Row],[Item]]) + 1, LEN(Table1[[#This Row],[Item]]))</f>
        <v>C</v>
      </c>
      <c r="D640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64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40" s="1" cm="1">
        <f t="array" ref="F640">VALUE(INDEX(_xlfn.TEXTSPLIT(Table1[[#This Row],[Item]], "-"), 5))</f>
        <v>1</v>
      </c>
      <c r="G640" s="1" cm="1">
        <f t="array" ref="G640">VALUE(INDEX(_xlfn.TEXTSPLIT(Table1[[#This Row],[Item]], "-"), 6))</f>
        <v>2</v>
      </c>
      <c r="H640" s="1" cm="1">
        <f t="array" ref="H640">VALUE(INDEX(_xlfn.TEXTSPLIT(Table1[[#This Row],[Item]], "-"), 7))</f>
        <v>0</v>
      </c>
      <c r="I64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40" s="1" t="str">
        <f>LEFT(RIGHT(Table1[[#This Row],[Item]],6),1)</f>
        <v>N</v>
      </c>
      <c r="K640" s="1" t="str">
        <f t="shared" si="10"/>
        <v>N</v>
      </c>
      <c r="L640" s="1" t="str">
        <f>RIGHT(Table1[[#This Row],[Item]],2)</f>
        <v>BR</v>
      </c>
      <c r="M640" s="1" t="s">
        <v>33</v>
      </c>
      <c r="N640" s="3" t="s">
        <v>660</v>
      </c>
      <c r="O640" s="1"/>
    </row>
    <row r="641" spans="1:15" ht="15" customHeight="1">
      <c r="A641" t="s">
        <v>661</v>
      </c>
      <c r="B641" s="1" t="str">
        <f>LEFT(Table1[[#This Row],[Item]], FIND("-", Table1[[#This Row],[Item]]) - 1)</f>
        <v>GX10</v>
      </c>
      <c r="C641" s="1" t="str">
        <f>MID(LEFT(Table1[[#This Row],[Item]], FIND("{token}", SUBSTITUTE(Table1[[#This Row],[Item]], "-", "{token}", 2)) - 1), FIND("-", Table1[[#This Row],[Item]]) + 1, LEN(Table1[[#This Row],[Item]]))</f>
        <v>D</v>
      </c>
      <c r="D64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4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641" s="1" cm="1">
        <f t="array" ref="F641">VALUE(INDEX(_xlfn.TEXTSPLIT(Table1[[#This Row],[Item]], "-"), 5))</f>
        <v>1</v>
      </c>
      <c r="G641" s="1" cm="1">
        <f t="array" ref="G641">VALUE(INDEX(_xlfn.TEXTSPLIT(Table1[[#This Row],[Item]], "-"), 6))</f>
        <v>0</v>
      </c>
      <c r="H641" s="1" cm="1">
        <f t="array" ref="H641">VALUE(INDEX(_xlfn.TEXTSPLIT(Table1[[#This Row],[Item]], "-"), 7))</f>
        <v>1</v>
      </c>
      <c r="I64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41" s="1" t="str">
        <f>LEFT(RIGHT(Table1[[#This Row],[Item]],6),1)</f>
        <v>N</v>
      </c>
      <c r="K641" s="1" t="str">
        <f t="shared" si="10"/>
        <v>N</v>
      </c>
      <c r="L641" s="1" t="str">
        <f>RIGHT(Table1[[#This Row],[Item]],2)</f>
        <v>BR</v>
      </c>
      <c r="M641" s="1" t="s">
        <v>33</v>
      </c>
      <c r="N641" s="3" t="s">
        <v>661</v>
      </c>
      <c r="O641" s="1"/>
    </row>
    <row r="642" spans="1:15" ht="15" customHeight="1">
      <c r="A642" t="s">
        <v>662</v>
      </c>
      <c r="B642" s="1" t="str">
        <f>LEFT(Table1[[#This Row],[Item]], FIND("-", Table1[[#This Row],[Item]]) - 1)</f>
        <v>ARB6</v>
      </c>
      <c r="C642" s="1" t="str">
        <f>MID(LEFT(Table1[[#This Row],[Item]], FIND("{token}", SUBSTITUTE(Table1[[#This Row],[Item]], "-", "{token}", 2)) - 1), FIND("-", Table1[[#This Row],[Item]]) + 1, LEN(Table1[[#This Row],[Item]]))</f>
        <v>L</v>
      </c>
      <c r="D642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64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42" s="1" cm="1">
        <f t="array" ref="F642">VALUE(INDEX(_xlfn.TEXTSPLIT(Table1[[#This Row],[Item]], "-"), 5))</f>
        <v>0</v>
      </c>
      <c r="G642" s="1" cm="1">
        <f t="array" ref="G642">VALUE(INDEX(_xlfn.TEXTSPLIT(Table1[[#This Row],[Item]], "-"), 6))</f>
        <v>0</v>
      </c>
      <c r="H642" s="1" cm="1">
        <f t="array" ref="H642">VALUE(INDEX(_xlfn.TEXTSPLIT(Table1[[#This Row],[Item]], "-"), 7))</f>
        <v>0</v>
      </c>
      <c r="I64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42" s="1" t="str">
        <f>LEFT(RIGHT(Table1[[#This Row],[Item]],6),1)</f>
        <v>Y</v>
      </c>
      <c r="K642" s="1" t="str">
        <f t="shared" si="10"/>
        <v>N</v>
      </c>
      <c r="L642" s="1" t="str">
        <f>RIGHT(Table1[[#This Row],[Item]],2)</f>
        <v>BR</v>
      </c>
      <c r="M642" s="1" t="s">
        <v>33</v>
      </c>
      <c r="N642" s="3" t="s">
        <v>662</v>
      </c>
      <c r="O642" s="1"/>
    </row>
    <row r="643" spans="1:15" ht="15" customHeight="1">
      <c r="A643" t="s">
        <v>663</v>
      </c>
      <c r="B643" s="1" t="str">
        <f>LEFT(Table1[[#This Row],[Item]], FIND("-", Table1[[#This Row],[Item]]) - 1)</f>
        <v>GX06</v>
      </c>
      <c r="C643" s="1" t="str">
        <f>MID(LEFT(Table1[[#This Row],[Item]], FIND("{token}", SUBSTITUTE(Table1[[#This Row],[Item]], "-", "{token}", 2)) - 1), FIND("-", Table1[[#This Row],[Item]]) + 1, LEN(Table1[[#This Row],[Item]]))</f>
        <v>L</v>
      </c>
      <c r="D64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64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43" s="1" cm="1">
        <f t="array" ref="F643">VALUE(INDEX(_xlfn.TEXTSPLIT(Table1[[#This Row],[Item]], "-"), 5))</f>
        <v>1</v>
      </c>
      <c r="G643" s="1" cm="1">
        <f t="array" ref="G643">VALUE(INDEX(_xlfn.TEXTSPLIT(Table1[[#This Row],[Item]], "-"), 6))</f>
        <v>0</v>
      </c>
      <c r="H643" s="1" cm="1">
        <f t="array" ref="H643">VALUE(INDEX(_xlfn.TEXTSPLIT(Table1[[#This Row],[Item]], "-"), 7))</f>
        <v>0</v>
      </c>
      <c r="I64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43" s="1" t="str">
        <f>LEFT(RIGHT(Table1[[#This Row],[Item]],6),1)</f>
        <v>N</v>
      </c>
      <c r="K643" s="1" t="str">
        <f t="shared" si="10"/>
        <v>N</v>
      </c>
      <c r="L643" s="1" t="str">
        <f>RIGHT(Table1[[#This Row],[Item]],2)</f>
        <v>BR</v>
      </c>
      <c r="M643" s="1" t="s">
        <v>33</v>
      </c>
      <c r="N643" s="3" t="s">
        <v>663</v>
      </c>
      <c r="O643" s="1"/>
    </row>
    <row r="644" spans="1:15" ht="15" customHeight="1">
      <c r="A644" t="s">
        <v>664</v>
      </c>
      <c r="B644" s="1" t="str">
        <f>LEFT(Table1[[#This Row],[Item]], FIND("-", Table1[[#This Row],[Item]]) - 1)</f>
        <v>PRT7</v>
      </c>
      <c r="C644" s="1" t="str">
        <f>MID(LEFT(Table1[[#This Row],[Item]], FIND("{token}", SUBSTITUTE(Table1[[#This Row],[Item]], "-", "{token}", 2)) - 1), FIND("-", Table1[[#This Row],[Item]]) + 1, LEN(Table1[[#This Row],[Item]]))</f>
        <v>N</v>
      </c>
      <c r="D64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4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644" s="1" cm="1">
        <f t="array" ref="F644">VALUE(INDEX(_xlfn.TEXTSPLIT(Table1[[#This Row],[Item]], "-"), 5))</f>
        <v>1</v>
      </c>
      <c r="G644" s="1" cm="1">
        <f t="array" ref="G644">VALUE(INDEX(_xlfn.TEXTSPLIT(Table1[[#This Row],[Item]], "-"), 6))</f>
        <v>0</v>
      </c>
      <c r="H644" s="1" cm="1">
        <f t="array" ref="H644">VALUE(INDEX(_xlfn.TEXTSPLIT(Table1[[#This Row],[Item]], "-"), 7))</f>
        <v>0</v>
      </c>
      <c r="I644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44" s="1" t="str">
        <f>LEFT(RIGHT(Table1[[#This Row],[Item]],6),1)</f>
        <v>Y</v>
      </c>
      <c r="K644" s="1" t="str">
        <f t="shared" si="10"/>
        <v>Y</v>
      </c>
      <c r="L644" s="1" t="str">
        <f>RIGHT(Table1[[#This Row],[Item]],2)</f>
        <v>BR</v>
      </c>
      <c r="M644" s="1" t="s">
        <v>33</v>
      </c>
      <c r="N644" s="3" t="s">
        <v>664</v>
      </c>
      <c r="O644" s="1"/>
    </row>
    <row r="645" spans="1:15" ht="15" customHeight="1">
      <c r="A645" t="s">
        <v>665</v>
      </c>
      <c r="B645" s="1" t="str">
        <f>LEFT(Table1[[#This Row],[Item]], FIND("-", Table1[[#This Row],[Item]]) - 1)</f>
        <v>ARB8</v>
      </c>
      <c r="C645" s="1" t="str">
        <f>MID(LEFT(Table1[[#This Row],[Item]], FIND("{token}", SUBSTITUTE(Table1[[#This Row],[Item]], "-", "{token}", 2)) - 1), FIND("-", Table1[[#This Row],[Item]]) + 1, LEN(Table1[[#This Row],[Item]]))</f>
        <v>L</v>
      </c>
      <c r="D64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4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645" s="1" cm="1">
        <f t="array" ref="F645">VALUE(INDEX(_xlfn.TEXTSPLIT(Table1[[#This Row],[Item]], "-"), 5))</f>
        <v>1</v>
      </c>
      <c r="G645" s="1" cm="1">
        <f t="array" ref="G645">VALUE(INDEX(_xlfn.TEXTSPLIT(Table1[[#This Row],[Item]], "-"), 6))</f>
        <v>1</v>
      </c>
      <c r="H645" s="1" cm="1">
        <f t="array" ref="H645">VALUE(INDEX(_xlfn.TEXTSPLIT(Table1[[#This Row],[Item]], "-"), 7))</f>
        <v>0</v>
      </c>
      <c r="I645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45" s="1" t="str">
        <f>LEFT(RIGHT(Table1[[#This Row],[Item]],6),1)</f>
        <v>Y</v>
      </c>
      <c r="K645" s="1" t="str">
        <f t="shared" si="10"/>
        <v>Y</v>
      </c>
      <c r="L645" s="1" t="str">
        <f>RIGHT(Table1[[#This Row],[Item]],2)</f>
        <v>BR</v>
      </c>
      <c r="M645" s="1" t="s">
        <v>33</v>
      </c>
      <c r="N645" s="3" t="s">
        <v>665</v>
      </c>
      <c r="O645" s="1"/>
    </row>
    <row r="646" spans="1:15" ht="15" customHeight="1">
      <c r="A646" t="s">
        <v>666</v>
      </c>
      <c r="B646" s="1" t="str">
        <f>LEFT(Table1[[#This Row],[Item]], FIND("-", Table1[[#This Row],[Item]]) - 1)</f>
        <v>PRT7</v>
      </c>
      <c r="C646" s="1" t="str">
        <f>MID(LEFT(Table1[[#This Row],[Item]], FIND("{token}", SUBSTITUTE(Table1[[#This Row],[Item]], "-", "{token}", 2)) - 1), FIND("-", Table1[[#This Row],[Item]]) + 1, LEN(Table1[[#This Row],[Item]]))</f>
        <v>N</v>
      </c>
      <c r="D64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4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646" s="1" cm="1">
        <f t="array" ref="F646">VALUE(INDEX(_xlfn.TEXTSPLIT(Table1[[#This Row],[Item]], "-"), 5))</f>
        <v>1</v>
      </c>
      <c r="G646" s="1" cm="1">
        <f t="array" ref="G646">VALUE(INDEX(_xlfn.TEXTSPLIT(Table1[[#This Row],[Item]], "-"), 6))</f>
        <v>0</v>
      </c>
      <c r="H646" s="1" cm="1">
        <f t="array" ref="H646">VALUE(INDEX(_xlfn.TEXTSPLIT(Table1[[#This Row],[Item]], "-"), 7))</f>
        <v>0</v>
      </c>
      <c r="I646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46" s="1" t="str">
        <f>LEFT(RIGHT(Table1[[#This Row],[Item]],6),1)</f>
        <v>Y</v>
      </c>
      <c r="K646" s="1" t="str">
        <f t="shared" si="10"/>
        <v>N</v>
      </c>
      <c r="L646" s="1" t="str">
        <f>RIGHT(Table1[[#This Row],[Item]],2)</f>
        <v>BR</v>
      </c>
      <c r="M646" s="1" t="s">
        <v>33</v>
      </c>
      <c r="N646" s="3" t="s">
        <v>666</v>
      </c>
      <c r="O646" s="1"/>
    </row>
    <row r="647" spans="1:15" ht="15" customHeight="1">
      <c r="A647" t="s">
        <v>667</v>
      </c>
      <c r="B647" s="1" t="str">
        <f>LEFT(Table1[[#This Row],[Item]], FIND("-", Table1[[#This Row],[Item]]) - 1)</f>
        <v>PRT9</v>
      </c>
      <c r="C647" s="1" t="str">
        <f>MID(LEFT(Table1[[#This Row],[Item]], FIND("{token}", SUBSTITUTE(Table1[[#This Row],[Item]], "-", "{token}", 2)) - 1), FIND("-", Table1[[#This Row],[Item]]) + 1, LEN(Table1[[#This Row],[Item]]))</f>
        <v>N</v>
      </c>
      <c r="D64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4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647" s="1" cm="1">
        <f t="array" ref="F647">VALUE(INDEX(_xlfn.TEXTSPLIT(Table1[[#This Row],[Item]], "-"), 5))</f>
        <v>2</v>
      </c>
      <c r="G647" s="1" cm="1">
        <f t="array" ref="G647">VALUE(INDEX(_xlfn.TEXTSPLIT(Table1[[#This Row],[Item]], "-"), 6))</f>
        <v>0</v>
      </c>
      <c r="H647" s="1" cm="1">
        <f t="array" ref="H647">VALUE(INDEX(_xlfn.TEXTSPLIT(Table1[[#This Row],[Item]], "-"), 7))</f>
        <v>0</v>
      </c>
      <c r="I647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47" s="1" t="str">
        <f>LEFT(RIGHT(Table1[[#This Row],[Item]],6),1)</f>
        <v>Y</v>
      </c>
      <c r="K647" s="1" t="str">
        <f t="shared" si="10"/>
        <v>Y</v>
      </c>
      <c r="L647" s="1" t="str">
        <f>RIGHT(Table1[[#This Row],[Item]],2)</f>
        <v>BR</v>
      </c>
      <c r="M647" s="1" t="s">
        <v>33</v>
      </c>
      <c r="N647" s="3" t="s">
        <v>667</v>
      </c>
      <c r="O647" s="1"/>
    </row>
    <row r="648" spans="1:15" ht="15" customHeight="1">
      <c r="A648" t="s">
        <v>668</v>
      </c>
      <c r="B648" s="1" t="str">
        <f>LEFT(Table1[[#This Row],[Item]], FIND("-", Table1[[#This Row],[Item]]) - 1)</f>
        <v>GX06</v>
      </c>
      <c r="C648" s="1" t="str">
        <f>MID(LEFT(Table1[[#This Row],[Item]], FIND("{token}", SUBSTITUTE(Table1[[#This Row],[Item]], "-", "{token}", 2)) - 1), FIND("-", Table1[[#This Row],[Item]]) + 1, LEN(Table1[[#This Row],[Item]]))</f>
        <v>L</v>
      </c>
      <c r="D648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64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48" s="1" cm="1">
        <f t="array" ref="F648">VALUE(INDEX(_xlfn.TEXTSPLIT(Table1[[#This Row],[Item]], "-"), 5))</f>
        <v>1</v>
      </c>
      <c r="G648" s="1" cm="1">
        <f t="array" ref="G648">VALUE(INDEX(_xlfn.TEXTSPLIT(Table1[[#This Row],[Item]], "-"), 6))</f>
        <v>0</v>
      </c>
      <c r="H648" s="1" cm="1">
        <f t="array" ref="H648">VALUE(INDEX(_xlfn.TEXTSPLIT(Table1[[#This Row],[Item]], "-"), 7))</f>
        <v>0</v>
      </c>
      <c r="I64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48" s="1" t="str">
        <f>LEFT(RIGHT(Table1[[#This Row],[Item]],6),1)</f>
        <v>N</v>
      </c>
      <c r="K648" s="1" t="str">
        <f t="shared" si="10"/>
        <v>N</v>
      </c>
      <c r="L648" s="1" t="str">
        <f>RIGHT(Table1[[#This Row],[Item]],2)</f>
        <v>BR</v>
      </c>
      <c r="M648" s="1" t="s">
        <v>33</v>
      </c>
      <c r="N648" s="3" t="s">
        <v>668</v>
      </c>
      <c r="O648" s="1"/>
    </row>
    <row r="649" spans="1:15" ht="15" customHeight="1">
      <c r="A649" t="s">
        <v>669</v>
      </c>
      <c r="B649" s="1" t="str">
        <f>LEFT(Table1[[#This Row],[Item]], FIND("-", Table1[[#This Row],[Item]]) - 1)</f>
        <v>ARB6</v>
      </c>
      <c r="C649" s="1" t="str">
        <f>MID(LEFT(Table1[[#This Row],[Item]], FIND("{token}", SUBSTITUTE(Table1[[#This Row],[Item]], "-", "{token}", 2)) - 1), FIND("-", Table1[[#This Row],[Item]]) + 1, LEN(Table1[[#This Row],[Item]]))</f>
        <v>L</v>
      </c>
      <c r="D649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64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49" s="1" cm="1">
        <f t="array" ref="F649">VALUE(INDEX(_xlfn.TEXTSPLIT(Table1[[#This Row],[Item]], "-"), 5))</f>
        <v>1</v>
      </c>
      <c r="G649" s="1" cm="1">
        <f t="array" ref="G649">VALUE(INDEX(_xlfn.TEXTSPLIT(Table1[[#This Row],[Item]], "-"), 6))</f>
        <v>0</v>
      </c>
      <c r="H649" s="1" cm="1">
        <f t="array" ref="H649">VALUE(INDEX(_xlfn.TEXTSPLIT(Table1[[#This Row],[Item]], "-"), 7))</f>
        <v>0</v>
      </c>
      <c r="I64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49" s="1" t="str">
        <f>LEFT(RIGHT(Table1[[#This Row],[Item]],6),1)</f>
        <v>Y</v>
      </c>
      <c r="K649" s="1" t="str">
        <f t="shared" si="10"/>
        <v>N</v>
      </c>
      <c r="L649" s="1" t="str">
        <f>RIGHT(Table1[[#This Row],[Item]],2)</f>
        <v>BR</v>
      </c>
      <c r="M649" s="1" t="s">
        <v>33</v>
      </c>
      <c r="N649" s="3" t="s">
        <v>669</v>
      </c>
      <c r="O649" s="1"/>
    </row>
    <row r="650" spans="1:15" ht="15" customHeight="1">
      <c r="A650" t="s">
        <v>670</v>
      </c>
      <c r="B650" s="1" t="str">
        <f>LEFT(Table1[[#This Row],[Item]], FIND("-", Table1[[#This Row],[Item]]) - 1)</f>
        <v>GX09</v>
      </c>
      <c r="C650" s="1" t="str">
        <f>MID(LEFT(Table1[[#This Row],[Item]], FIND("{token}", SUBSTITUTE(Table1[[#This Row],[Item]], "-", "{token}", 2)) - 1), FIND("-", Table1[[#This Row],[Item]]) + 1, LEN(Table1[[#This Row],[Item]]))</f>
        <v>L</v>
      </c>
      <c r="D650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65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50" s="1" cm="1">
        <f t="array" ref="F650">VALUE(INDEX(_xlfn.TEXTSPLIT(Table1[[#This Row],[Item]], "-"), 5))</f>
        <v>1</v>
      </c>
      <c r="G650" s="1" cm="1">
        <f t="array" ref="G650">VALUE(INDEX(_xlfn.TEXTSPLIT(Table1[[#This Row],[Item]], "-"), 6))</f>
        <v>2</v>
      </c>
      <c r="H650" s="1" cm="1">
        <f t="array" ref="H650">VALUE(INDEX(_xlfn.TEXTSPLIT(Table1[[#This Row],[Item]], "-"), 7))</f>
        <v>0</v>
      </c>
      <c r="I65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50" s="1" t="str">
        <f>LEFT(RIGHT(Table1[[#This Row],[Item]],6),1)</f>
        <v>N</v>
      </c>
      <c r="K650" s="1" t="str">
        <f t="shared" si="10"/>
        <v>N</v>
      </c>
      <c r="L650" s="1" t="str">
        <f>RIGHT(Table1[[#This Row],[Item]],2)</f>
        <v>BR</v>
      </c>
      <c r="M650" s="1" t="s">
        <v>33</v>
      </c>
      <c r="N650" s="3" t="s">
        <v>670</v>
      </c>
      <c r="O650" s="1"/>
    </row>
    <row r="651" spans="1:15" ht="15" customHeight="1">
      <c r="A651" t="s">
        <v>671</v>
      </c>
      <c r="B651" s="1" t="str">
        <f>LEFT(Table1[[#This Row],[Item]], FIND("-", Table1[[#This Row],[Item]]) - 1)</f>
        <v>GX10</v>
      </c>
      <c r="C651" s="1" t="str">
        <f>MID(LEFT(Table1[[#This Row],[Item]], FIND("{token}", SUBSTITUTE(Table1[[#This Row],[Item]], "-", "{token}", 2)) - 1), FIND("-", Table1[[#This Row],[Item]]) + 1, LEN(Table1[[#This Row],[Item]]))</f>
        <v>DXL</v>
      </c>
      <c r="D65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5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51" s="1" cm="1">
        <f t="array" ref="F651">VALUE(INDEX(_xlfn.TEXTSPLIT(Table1[[#This Row],[Item]], "-"), 5))</f>
        <v>1</v>
      </c>
      <c r="G651" s="1" cm="1">
        <f t="array" ref="G651">VALUE(INDEX(_xlfn.TEXTSPLIT(Table1[[#This Row],[Item]], "-"), 6))</f>
        <v>1</v>
      </c>
      <c r="H651" s="1" cm="1">
        <f t="array" ref="H651">VALUE(INDEX(_xlfn.TEXTSPLIT(Table1[[#This Row],[Item]], "-"), 7))</f>
        <v>1</v>
      </c>
      <c r="I65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51" s="1" t="str">
        <f>LEFT(RIGHT(Table1[[#This Row],[Item]],6),1)</f>
        <v>N</v>
      </c>
      <c r="K651" s="1" t="str">
        <f t="shared" si="10"/>
        <v>N</v>
      </c>
      <c r="L651" s="1" t="str">
        <f>RIGHT(Table1[[#This Row],[Item]],2)</f>
        <v>BR</v>
      </c>
      <c r="M651" s="1" t="s">
        <v>33</v>
      </c>
      <c r="N651" s="3" t="s">
        <v>671</v>
      </c>
      <c r="O651" s="1"/>
    </row>
    <row r="652" spans="1:15" ht="15" customHeight="1">
      <c r="A652" t="s">
        <v>672</v>
      </c>
      <c r="B652" s="1" t="str">
        <f>LEFT(Table1[[#This Row],[Item]], FIND("-", Table1[[#This Row],[Item]]) - 1)</f>
        <v>ARB8</v>
      </c>
      <c r="C652" s="1" t="str">
        <f>MID(LEFT(Table1[[#This Row],[Item]], FIND("{token}", SUBSTITUTE(Table1[[#This Row],[Item]], "-", "{token}", 2)) - 1), FIND("-", Table1[[#This Row],[Item]]) + 1, LEN(Table1[[#This Row],[Item]]))</f>
        <v>L</v>
      </c>
      <c r="D652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65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52" s="1" cm="1">
        <f t="array" ref="F652">VALUE(INDEX(_xlfn.TEXTSPLIT(Table1[[#This Row],[Item]], "-"), 5))</f>
        <v>1</v>
      </c>
      <c r="G652" s="1" cm="1">
        <f t="array" ref="G652">VALUE(INDEX(_xlfn.TEXTSPLIT(Table1[[#This Row],[Item]], "-"), 6))</f>
        <v>1</v>
      </c>
      <c r="H652" s="1" cm="1">
        <f t="array" ref="H652">VALUE(INDEX(_xlfn.TEXTSPLIT(Table1[[#This Row],[Item]], "-"), 7))</f>
        <v>0</v>
      </c>
      <c r="I652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52" s="1" t="str">
        <f>LEFT(RIGHT(Table1[[#This Row],[Item]],6),1)</f>
        <v>Y</v>
      </c>
      <c r="K652" s="1" t="str">
        <f t="shared" si="10"/>
        <v>N</v>
      </c>
      <c r="L652" s="1" t="str">
        <f>RIGHT(Table1[[#This Row],[Item]],2)</f>
        <v>BR</v>
      </c>
      <c r="M652" s="1" t="s">
        <v>33</v>
      </c>
      <c r="N652" s="3" t="s">
        <v>672</v>
      </c>
      <c r="O652" s="1"/>
    </row>
    <row r="653" spans="1:15" ht="15" customHeight="1">
      <c r="A653" t="s">
        <v>673</v>
      </c>
      <c r="B653" s="1" t="str">
        <f>LEFT(Table1[[#This Row],[Item]], FIND("-", Table1[[#This Row],[Item]]) - 1)</f>
        <v>GX10</v>
      </c>
      <c r="C653" s="1" t="str">
        <f>MID(LEFT(Table1[[#This Row],[Item]], FIND("{token}", SUBSTITUTE(Table1[[#This Row],[Item]], "-", "{token}", 2)) - 1), FIND("-", Table1[[#This Row],[Item]]) + 1, LEN(Table1[[#This Row],[Item]]))</f>
        <v>CXL</v>
      </c>
      <c r="D653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65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653" s="1" cm="1">
        <f t="array" ref="F653">VALUE(INDEX(_xlfn.TEXTSPLIT(Table1[[#This Row],[Item]], "-"), 5))</f>
        <v>1</v>
      </c>
      <c r="G653" s="1" cm="1">
        <f t="array" ref="G653">VALUE(INDEX(_xlfn.TEXTSPLIT(Table1[[#This Row],[Item]], "-"), 6))</f>
        <v>2</v>
      </c>
      <c r="H653" s="1" cm="1">
        <f t="array" ref="H653">VALUE(INDEX(_xlfn.TEXTSPLIT(Table1[[#This Row],[Item]], "-"), 7))</f>
        <v>0</v>
      </c>
      <c r="I65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53" s="1" t="str">
        <f>LEFT(RIGHT(Table1[[#This Row],[Item]],6),1)</f>
        <v>N</v>
      </c>
      <c r="K653" s="1" t="str">
        <f t="shared" si="10"/>
        <v>N</v>
      </c>
      <c r="L653" s="1" t="str">
        <f>RIGHT(Table1[[#This Row],[Item]],2)</f>
        <v>BR</v>
      </c>
      <c r="M653" s="1" t="s">
        <v>33</v>
      </c>
      <c r="N653" s="3" t="s">
        <v>673</v>
      </c>
      <c r="O653" s="1"/>
    </row>
    <row r="654" spans="1:15" ht="15" customHeight="1">
      <c r="A654" t="s">
        <v>674</v>
      </c>
      <c r="B654" s="1" t="str">
        <f>LEFT(Table1[[#This Row],[Item]], FIND("-", Table1[[#This Row],[Item]]) - 1)</f>
        <v>GX10</v>
      </c>
      <c r="C654" s="1" t="str">
        <f>MID(LEFT(Table1[[#This Row],[Item]], FIND("{token}", SUBSTITUTE(Table1[[#This Row],[Item]], "-", "{token}", 2)) - 1), FIND("-", Table1[[#This Row],[Item]]) + 1, LEN(Table1[[#This Row],[Item]]))</f>
        <v>R</v>
      </c>
      <c r="D654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65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654" s="1" cm="1">
        <f t="array" ref="F654">VALUE(INDEX(_xlfn.TEXTSPLIT(Table1[[#This Row],[Item]], "-"), 5))</f>
        <v>1</v>
      </c>
      <c r="G654" s="1" cm="1">
        <f t="array" ref="G654">VALUE(INDEX(_xlfn.TEXTSPLIT(Table1[[#This Row],[Item]], "-"), 6))</f>
        <v>2</v>
      </c>
      <c r="H654" s="1" cm="1">
        <f t="array" ref="H654">VALUE(INDEX(_xlfn.TEXTSPLIT(Table1[[#This Row],[Item]], "-"), 7))</f>
        <v>0</v>
      </c>
      <c r="I65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54" s="1" t="str">
        <f>LEFT(RIGHT(Table1[[#This Row],[Item]],6),1)</f>
        <v>N</v>
      </c>
      <c r="K654" s="1" t="str">
        <f t="shared" ref="K654:K665" si="11">MID(A654, LEN(A654)-3, 1)</f>
        <v>N</v>
      </c>
      <c r="L654" s="1" t="str">
        <f>RIGHT(Table1[[#This Row],[Item]],2)</f>
        <v>BR</v>
      </c>
      <c r="M654" s="1" t="s">
        <v>33</v>
      </c>
      <c r="N654" s="3" t="s">
        <v>674</v>
      </c>
      <c r="O654" s="1"/>
    </row>
    <row r="655" spans="1:15" ht="15" customHeight="1">
      <c r="A655" t="s">
        <v>675</v>
      </c>
      <c r="B655" s="1" t="str">
        <f>LEFT(Table1[[#This Row],[Item]], FIND("-", Table1[[#This Row],[Item]]) - 1)</f>
        <v>PRT9</v>
      </c>
      <c r="C655" s="1" t="str">
        <f>MID(LEFT(Table1[[#This Row],[Item]], FIND("{token}", SUBSTITUTE(Table1[[#This Row],[Item]], "-", "{token}", 2)) - 1), FIND("-", Table1[[#This Row],[Item]]) + 1, LEN(Table1[[#This Row],[Item]]))</f>
        <v>N</v>
      </c>
      <c r="D65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5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655" s="1" cm="1">
        <f t="array" ref="F655">VALUE(INDEX(_xlfn.TEXTSPLIT(Table1[[#This Row],[Item]], "-"), 5))</f>
        <v>2</v>
      </c>
      <c r="G655" s="1" cm="1">
        <f t="array" ref="G655">VALUE(INDEX(_xlfn.TEXTSPLIT(Table1[[#This Row],[Item]], "-"), 6))</f>
        <v>0</v>
      </c>
      <c r="H655" s="1" cm="1">
        <f t="array" ref="H655">VALUE(INDEX(_xlfn.TEXTSPLIT(Table1[[#This Row],[Item]], "-"), 7))</f>
        <v>0</v>
      </c>
      <c r="I655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655" s="1" t="str">
        <f>LEFT(RIGHT(Table1[[#This Row],[Item]],6),1)</f>
        <v>Y</v>
      </c>
      <c r="K655" s="1" t="str">
        <f t="shared" si="11"/>
        <v>Y</v>
      </c>
      <c r="L655" s="1" t="str">
        <f>RIGHT(Table1[[#This Row],[Item]],2)</f>
        <v>BR</v>
      </c>
      <c r="M655" s="1" t="s">
        <v>33</v>
      </c>
      <c r="N655" s="3" t="s">
        <v>675</v>
      </c>
      <c r="O655" s="1"/>
    </row>
    <row r="656" spans="1:15" ht="15" customHeight="1">
      <c r="A656" t="s">
        <v>676</v>
      </c>
      <c r="B656" s="1" t="str">
        <f>LEFT(Table1[[#This Row],[Item]], FIND("-", Table1[[#This Row],[Item]]) - 1)</f>
        <v>ARB8</v>
      </c>
      <c r="C656" s="1" t="str">
        <f>MID(LEFT(Table1[[#This Row],[Item]], FIND("{token}", SUBSTITUTE(Table1[[#This Row],[Item]], "-", "{token}", 2)) - 1), FIND("-", Table1[[#This Row],[Item]]) + 1, LEN(Table1[[#This Row],[Item]]))</f>
        <v>LXL</v>
      </c>
      <c r="D65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5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56" s="1" cm="1">
        <f t="array" ref="F656">VALUE(INDEX(_xlfn.TEXTSPLIT(Table1[[#This Row],[Item]], "-"), 5))</f>
        <v>1</v>
      </c>
      <c r="G656" s="1" cm="1">
        <f t="array" ref="G656">VALUE(INDEX(_xlfn.TEXTSPLIT(Table1[[#This Row],[Item]], "-"), 6))</f>
        <v>0</v>
      </c>
      <c r="H656" s="1" cm="1">
        <f t="array" ref="H656">VALUE(INDEX(_xlfn.TEXTSPLIT(Table1[[#This Row],[Item]], "-"), 7))</f>
        <v>0</v>
      </c>
      <c r="I656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56" s="1" t="str">
        <f>LEFT(RIGHT(Table1[[#This Row],[Item]],6),1)</f>
        <v>Y</v>
      </c>
      <c r="K656" s="1" t="str">
        <f t="shared" si="11"/>
        <v>N</v>
      </c>
      <c r="L656" s="1" t="str">
        <f>RIGHT(Table1[[#This Row],[Item]],2)</f>
        <v>BR</v>
      </c>
      <c r="M656" s="1" t="s">
        <v>33</v>
      </c>
      <c r="N656" s="3" t="s">
        <v>676</v>
      </c>
      <c r="O656" s="1"/>
    </row>
    <row r="657" spans="1:15" ht="15" customHeight="1">
      <c r="A657" t="s">
        <v>677</v>
      </c>
      <c r="B657" s="1" t="str">
        <f>LEFT(Table1[[#This Row],[Item]], FIND("-", Table1[[#This Row],[Item]]) - 1)</f>
        <v>GX06</v>
      </c>
      <c r="C657" s="1" t="str">
        <f>MID(LEFT(Table1[[#This Row],[Item]], FIND("{token}", SUBSTITUTE(Table1[[#This Row],[Item]], "-", "{token}", 2)) - 1), FIND("-", Table1[[#This Row],[Item]]) + 1, LEN(Table1[[#This Row],[Item]]))</f>
        <v>R</v>
      </c>
      <c r="D65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65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57" s="1" cm="1">
        <f t="array" ref="F657">VALUE(INDEX(_xlfn.TEXTSPLIT(Table1[[#This Row],[Item]], "-"), 5))</f>
        <v>0</v>
      </c>
      <c r="G657" s="1" cm="1">
        <f t="array" ref="G657">VALUE(INDEX(_xlfn.TEXTSPLIT(Table1[[#This Row],[Item]], "-"), 6))</f>
        <v>1</v>
      </c>
      <c r="H657" s="1" cm="1">
        <f t="array" ref="H657">VALUE(INDEX(_xlfn.TEXTSPLIT(Table1[[#This Row],[Item]], "-"), 7))</f>
        <v>0</v>
      </c>
      <c r="I65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57" s="1" t="str">
        <f>LEFT(RIGHT(Table1[[#This Row],[Item]],6),1)</f>
        <v>N</v>
      </c>
      <c r="K657" s="1" t="str">
        <f t="shared" si="11"/>
        <v>N</v>
      </c>
      <c r="L657" s="1" t="str">
        <f>RIGHT(Table1[[#This Row],[Item]],2)</f>
        <v>BR</v>
      </c>
      <c r="M657" s="1" t="s">
        <v>33</v>
      </c>
      <c r="N657" s="3" t="s">
        <v>677</v>
      </c>
      <c r="O657" s="1"/>
    </row>
    <row r="658" spans="1:15" ht="15" customHeight="1">
      <c r="A658" t="s">
        <v>678</v>
      </c>
      <c r="B658" s="1" t="str">
        <f>LEFT(Table1[[#This Row],[Item]], FIND("-", Table1[[#This Row],[Item]]) - 1)</f>
        <v>GX12</v>
      </c>
      <c r="C658" s="1" t="str">
        <f>MID(LEFT(Table1[[#This Row],[Item]], FIND("{token}", SUBSTITUTE(Table1[[#This Row],[Item]], "-", "{token}", 2)) - 1), FIND("-", Table1[[#This Row],[Item]]) + 1, LEN(Table1[[#This Row],[Item]]))</f>
        <v>CXL</v>
      </c>
      <c r="D658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65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658" s="1" cm="1">
        <f t="array" ref="F658">VALUE(INDEX(_xlfn.TEXTSPLIT(Table1[[#This Row],[Item]], "-"), 5))</f>
        <v>2</v>
      </c>
      <c r="G658" s="1" cm="1">
        <f t="array" ref="G658">VALUE(INDEX(_xlfn.TEXTSPLIT(Table1[[#This Row],[Item]], "-"), 6))</f>
        <v>2</v>
      </c>
      <c r="H658" s="1" cm="1">
        <f t="array" ref="H658">VALUE(INDEX(_xlfn.TEXTSPLIT(Table1[[#This Row],[Item]], "-"), 7))</f>
        <v>1</v>
      </c>
      <c r="I65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58" s="1" t="str">
        <f>LEFT(RIGHT(Table1[[#This Row],[Item]],6),1)</f>
        <v>N</v>
      </c>
      <c r="K658" s="1" t="str">
        <f t="shared" si="11"/>
        <v>N</v>
      </c>
      <c r="L658" s="1" t="str">
        <f>RIGHT(Table1[[#This Row],[Item]],2)</f>
        <v>BR</v>
      </c>
      <c r="M658" s="1" t="s">
        <v>33</v>
      </c>
      <c r="N658" s="3" t="s">
        <v>678</v>
      </c>
      <c r="O658" s="1"/>
    </row>
    <row r="659" spans="1:15" ht="15" customHeight="1">
      <c r="A659" t="s">
        <v>679</v>
      </c>
      <c r="B659" s="1" t="str">
        <f>LEFT(Table1[[#This Row],[Item]], FIND("-", Table1[[#This Row],[Item]]) - 1)</f>
        <v>GX09</v>
      </c>
      <c r="C659" s="1" t="str">
        <f>MID(LEFT(Table1[[#This Row],[Item]], FIND("{token}", SUBSTITUTE(Table1[[#This Row],[Item]], "-", "{token}", 2)) - 1), FIND("-", Table1[[#This Row],[Item]]) + 1, LEN(Table1[[#This Row],[Item]]))</f>
        <v>D</v>
      </c>
      <c r="D65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5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59" s="1" cm="1">
        <f t="array" ref="F659">VALUE(INDEX(_xlfn.TEXTSPLIT(Table1[[#This Row],[Item]], "-"), 5))</f>
        <v>0</v>
      </c>
      <c r="G659" s="1" cm="1">
        <f t="array" ref="G659">VALUE(INDEX(_xlfn.TEXTSPLIT(Table1[[#This Row],[Item]], "-"), 6))</f>
        <v>1</v>
      </c>
      <c r="H659" s="1" cm="1">
        <f t="array" ref="H659">VALUE(INDEX(_xlfn.TEXTSPLIT(Table1[[#This Row],[Item]], "-"), 7))</f>
        <v>1</v>
      </c>
      <c r="I65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59" s="1" t="str">
        <f>LEFT(RIGHT(Table1[[#This Row],[Item]],6),1)</f>
        <v>N</v>
      </c>
      <c r="K659" s="1" t="str">
        <f t="shared" si="11"/>
        <v>N</v>
      </c>
      <c r="L659" s="1" t="str">
        <f>RIGHT(Table1[[#This Row],[Item]],2)</f>
        <v>BR</v>
      </c>
      <c r="M659" s="1" t="s">
        <v>33</v>
      </c>
      <c r="N659" s="3" t="s">
        <v>679</v>
      </c>
      <c r="O659" s="1"/>
    </row>
    <row r="660" spans="1:15" ht="15" customHeight="1">
      <c r="A660" t="s">
        <v>680</v>
      </c>
      <c r="B660" s="1" t="str">
        <f>LEFT(Table1[[#This Row],[Item]], FIND("-", Table1[[#This Row],[Item]]) - 1)</f>
        <v>GX09</v>
      </c>
      <c r="C660" s="1" t="str">
        <f>MID(LEFT(Table1[[#This Row],[Item]], FIND("{token}", SUBSTITUTE(Table1[[#This Row],[Item]], "-", "{token}", 2)) - 1), FIND("-", Table1[[#This Row],[Item]]) + 1, LEN(Table1[[#This Row],[Item]]))</f>
        <v>L</v>
      </c>
      <c r="D660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66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60" s="1" cm="1">
        <f t="array" ref="F660">VALUE(INDEX(_xlfn.TEXTSPLIT(Table1[[#This Row],[Item]], "-"), 5))</f>
        <v>1</v>
      </c>
      <c r="G660" s="1" cm="1">
        <f t="array" ref="G660">VALUE(INDEX(_xlfn.TEXTSPLIT(Table1[[#This Row],[Item]], "-"), 6))</f>
        <v>2</v>
      </c>
      <c r="H660" s="1" cm="1">
        <f t="array" ref="H660">VALUE(INDEX(_xlfn.TEXTSPLIT(Table1[[#This Row],[Item]], "-"), 7))</f>
        <v>0</v>
      </c>
      <c r="I66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60" s="1" t="str">
        <f>LEFT(RIGHT(Table1[[#This Row],[Item]],6),1)</f>
        <v>N</v>
      </c>
      <c r="K660" s="1" t="str">
        <f t="shared" si="11"/>
        <v>N</v>
      </c>
      <c r="L660" s="1" t="str">
        <f>RIGHT(Table1[[#This Row],[Item]],2)</f>
        <v>BR</v>
      </c>
      <c r="M660" s="1" t="s">
        <v>33</v>
      </c>
      <c r="N660" s="3" t="s">
        <v>680</v>
      </c>
      <c r="O660" s="1"/>
    </row>
    <row r="661" spans="1:15" ht="15" customHeight="1">
      <c r="A661" t="s">
        <v>681</v>
      </c>
      <c r="B661" s="1" t="str">
        <f>LEFT(Table1[[#This Row],[Item]], FIND("-", Table1[[#This Row],[Item]]) - 1)</f>
        <v>GX12</v>
      </c>
      <c r="C661" s="1" t="str">
        <f>MID(LEFT(Table1[[#This Row],[Item]], FIND("{token}", SUBSTITUTE(Table1[[#This Row],[Item]], "-", "{token}", 2)) - 1), FIND("-", Table1[[#This Row],[Item]]) + 1, LEN(Table1[[#This Row],[Item]]))</f>
        <v>D</v>
      </c>
      <c r="D661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66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61" s="1" cm="1">
        <f t="array" ref="F661">VALUE(INDEX(_xlfn.TEXTSPLIT(Table1[[#This Row],[Item]], "-"), 5))</f>
        <v>1</v>
      </c>
      <c r="G661" s="1" cm="1">
        <f t="array" ref="G661">VALUE(INDEX(_xlfn.TEXTSPLIT(Table1[[#This Row],[Item]], "-"), 6))</f>
        <v>1</v>
      </c>
      <c r="H661" s="1" cm="1">
        <f t="array" ref="H661">VALUE(INDEX(_xlfn.TEXTSPLIT(Table1[[#This Row],[Item]], "-"), 7))</f>
        <v>1</v>
      </c>
      <c r="I66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61" s="1" t="str">
        <f>LEFT(RIGHT(Table1[[#This Row],[Item]],6),1)</f>
        <v>N</v>
      </c>
      <c r="K661" s="1" t="str">
        <f t="shared" si="11"/>
        <v>N</v>
      </c>
      <c r="L661" s="1" t="str">
        <f>RIGHT(Table1[[#This Row],[Item]],2)</f>
        <v>BR</v>
      </c>
      <c r="M661" s="1" t="s">
        <v>33</v>
      </c>
      <c r="N661" s="3" t="s">
        <v>681</v>
      </c>
      <c r="O661" s="1"/>
    </row>
    <row r="662" spans="1:15" ht="15" customHeight="1">
      <c r="A662" t="s">
        <v>682</v>
      </c>
      <c r="B662" s="1" t="str">
        <f>LEFT(Table1[[#This Row],[Item]], FIND("-", Table1[[#This Row],[Item]]) - 1)</f>
        <v>GX14</v>
      </c>
      <c r="C662" s="1" t="str">
        <f>MID(LEFT(Table1[[#This Row],[Item]], FIND("{token}", SUBSTITUTE(Table1[[#This Row],[Item]], "-", "{token}", 2)) - 1), FIND("-", Table1[[#This Row],[Item]]) + 1, LEN(Table1[[#This Row],[Item]]))</f>
        <v>D</v>
      </c>
      <c r="D662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66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62" s="1" cm="1">
        <f t="array" ref="F662">VALUE(INDEX(_xlfn.TEXTSPLIT(Table1[[#This Row],[Item]], "-"), 5))</f>
        <v>2</v>
      </c>
      <c r="G662" s="1" cm="1">
        <f t="array" ref="G662">VALUE(INDEX(_xlfn.TEXTSPLIT(Table1[[#This Row],[Item]], "-"), 6))</f>
        <v>1</v>
      </c>
      <c r="H662" s="1" cm="1">
        <f t="array" ref="H662">VALUE(INDEX(_xlfn.TEXTSPLIT(Table1[[#This Row],[Item]], "-"), 7))</f>
        <v>1</v>
      </c>
      <c r="I66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62" s="1" t="str">
        <f>LEFT(RIGHT(Table1[[#This Row],[Item]],6),1)</f>
        <v>N</v>
      </c>
      <c r="K662" s="1" t="str">
        <f t="shared" si="11"/>
        <v>N</v>
      </c>
      <c r="L662" s="1" t="str">
        <f>RIGHT(Table1[[#This Row],[Item]],2)</f>
        <v>BR</v>
      </c>
      <c r="M662" s="1" t="s">
        <v>33</v>
      </c>
      <c r="N662" s="3" t="s">
        <v>682</v>
      </c>
      <c r="O662" s="1"/>
    </row>
    <row r="663" spans="1:15" ht="15" customHeight="1">
      <c r="A663" t="s">
        <v>683</v>
      </c>
      <c r="B663" s="1" t="str">
        <f>LEFT(Table1[[#This Row],[Item]], FIND("-", Table1[[#This Row],[Item]]) - 1)</f>
        <v>MA12</v>
      </c>
      <c r="C663" s="1" t="str">
        <f>MID(LEFT(Table1[[#This Row],[Item]], FIND("{token}", SUBSTITUTE(Table1[[#This Row],[Item]], "-", "{token}", 2)) - 1), FIND("-", Table1[[#This Row],[Item]]) + 1, LEN(Table1[[#This Row],[Item]]))</f>
        <v>CXL</v>
      </c>
      <c r="D66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6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63" s="1" cm="1">
        <f t="array" ref="F663">VALUE(INDEX(_xlfn.TEXTSPLIT(Table1[[#This Row],[Item]], "-"), 5))</f>
        <v>2</v>
      </c>
      <c r="G663" s="1" cm="1">
        <f t="array" ref="G663">VALUE(INDEX(_xlfn.TEXTSPLIT(Table1[[#This Row],[Item]], "-"), 6))</f>
        <v>1</v>
      </c>
      <c r="H663" s="1" cm="1">
        <f t="array" ref="H663">VALUE(INDEX(_xlfn.TEXTSPLIT(Table1[[#This Row],[Item]], "-"), 7))</f>
        <v>0</v>
      </c>
      <c r="I663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663" s="1" t="str">
        <f>LEFT(RIGHT(Table1[[#This Row],[Item]],6),1)</f>
        <v>Y</v>
      </c>
      <c r="K663" s="1" t="str">
        <f t="shared" si="11"/>
        <v>Y</v>
      </c>
      <c r="L663" s="1" t="str">
        <f>RIGHT(Table1[[#This Row],[Item]],2)</f>
        <v>BR</v>
      </c>
      <c r="M663" s="1" t="s">
        <v>33</v>
      </c>
      <c r="N663" t="s">
        <v>683</v>
      </c>
      <c r="O663" s="1"/>
    </row>
    <row r="664" spans="1:15" ht="15" customHeight="1">
      <c r="A664" t="s">
        <v>684</v>
      </c>
      <c r="B664" s="1" t="str">
        <f>LEFT(Table1[[#This Row],[Item]], FIND("-", Table1[[#This Row],[Item]]) - 1)</f>
        <v>GX12</v>
      </c>
      <c r="C664" s="1" t="str">
        <f>MID(LEFT(Table1[[#This Row],[Item]], FIND("{token}", SUBSTITUTE(Table1[[#This Row],[Item]], "-", "{token}", 2)) - 1), FIND("-", Table1[[#This Row],[Item]]) + 1, LEN(Table1[[#This Row],[Item]]))</f>
        <v>LXL</v>
      </c>
      <c r="D664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66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664" s="1" cm="1">
        <f t="array" ref="F664">VALUE(INDEX(_xlfn.TEXTSPLIT(Table1[[#This Row],[Item]], "-"), 5))</f>
        <v>1</v>
      </c>
      <c r="G664" s="1" cm="1">
        <f t="array" ref="G664">VALUE(INDEX(_xlfn.TEXTSPLIT(Table1[[#This Row],[Item]], "-"), 6))</f>
        <v>2</v>
      </c>
      <c r="H664" s="1" cm="1">
        <f t="array" ref="H664">VALUE(INDEX(_xlfn.TEXTSPLIT(Table1[[#This Row],[Item]], "-"), 7))</f>
        <v>1</v>
      </c>
      <c r="I66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64" s="1" t="str">
        <f>LEFT(RIGHT(Table1[[#This Row],[Item]],6),1)</f>
        <v>N</v>
      </c>
      <c r="K664" s="1" t="str">
        <f t="shared" si="11"/>
        <v>N</v>
      </c>
      <c r="L664" s="1" t="str">
        <f>RIGHT(Table1[[#This Row],[Item]],2)</f>
        <v>BR</v>
      </c>
      <c r="M664" s="1" t="s">
        <v>33</v>
      </c>
      <c r="N664" s="3" t="s">
        <v>684</v>
      </c>
      <c r="O664" s="1"/>
    </row>
    <row r="665" spans="1:15" ht="15" customHeight="1">
      <c r="A665" t="s">
        <v>685</v>
      </c>
      <c r="B665" s="1" t="str">
        <f>LEFT(Table1[[#This Row],[Item]], FIND("-", Table1[[#This Row],[Item]]) - 1)</f>
        <v>GX09</v>
      </c>
      <c r="C665" s="1" t="str">
        <f>MID(LEFT(Table1[[#This Row],[Item]], FIND("{token}", SUBSTITUTE(Table1[[#This Row],[Item]], "-", "{token}", 2)) - 1), FIND("-", Table1[[#This Row],[Item]]) + 1, LEN(Table1[[#This Row],[Item]]))</f>
        <v>L</v>
      </c>
      <c r="D665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66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665" s="1" cm="1">
        <f t="array" ref="F665">VALUE(INDEX(_xlfn.TEXTSPLIT(Table1[[#This Row],[Item]], "-"), 5))</f>
        <v>1</v>
      </c>
      <c r="G665" s="1" cm="1">
        <f t="array" ref="G665">VALUE(INDEX(_xlfn.TEXTSPLIT(Table1[[#This Row],[Item]], "-"), 6))</f>
        <v>2</v>
      </c>
      <c r="H665" s="1" cm="1">
        <f t="array" ref="H665">VALUE(INDEX(_xlfn.TEXTSPLIT(Table1[[#This Row],[Item]], "-"), 7))</f>
        <v>0</v>
      </c>
      <c r="I66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65" s="1" t="str">
        <f>LEFT(RIGHT(Table1[[#This Row],[Item]],6),1)</f>
        <v>N</v>
      </c>
      <c r="K665" s="1" t="str">
        <f t="shared" si="11"/>
        <v>N</v>
      </c>
      <c r="L665" s="1" t="str">
        <f>RIGHT(Table1[[#This Row],[Item]],2)</f>
        <v>BR</v>
      </c>
      <c r="M665" s="1" t="s">
        <v>33</v>
      </c>
      <c r="N665" s="3" t="s">
        <v>685</v>
      </c>
      <c r="O665" s="1"/>
    </row>
    <row r="666" spans="1:15" ht="15" customHeight="1">
      <c r="A666" t="s">
        <v>686</v>
      </c>
      <c r="B666" s="1" t="str">
        <f>LEFT(Table1[[#This Row],[Item]], FIND("-", Table1[[#This Row],[Item]]) - 1)</f>
        <v>26FIREPIT</v>
      </c>
      <c r="C666" s="1" t="str">
        <f>MID(LEFT(Table1[[#This Row],[Item]], FIND("{token}", SUBSTITUTE(Table1[[#This Row],[Item]], "-", "{token}", 2)) - 1), FIND("-", Table1[[#This Row],[Item]]) + 1, LEN(Table1[[#This Row],[Item]]))</f>
        <v>N</v>
      </c>
      <c r="D66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6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66" s="1" cm="1">
        <f t="array" ref="F666">VALUE(INDEX(_xlfn.TEXTSPLIT(Table1[[#This Row],[Item]], "-"), 5))</f>
        <v>0</v>
      </c>
      <c r="G666" s="1" cm="1">
        <f t="array" ref="G666">VALUE(INDEX(_xlfn.TEXTSPLIT(Table1[[#This Row],[Item]], "-"), 6))</f>
        <v>0</v>
      </c>
      <c r="H666" s="1" cm="1">
        <f t="array" ref="H666">VALUE(INDEX(_xlfn.TEXTSPLIT(Table1[[#This Row],[Item]], "-"), 7))</f>
        <v>0</v>
      </c>
      <c r="I66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66" s="1" t="str">
        <f>LEFT(RIGHT(Table1[[#This Row],[Item]],6),1)</f>
        <v>N</v>
      </c>
      <c r="K666" s="1" t="str">
        <f t="shared" ref="K666:K729" si="12">MID(A666, LEN(A666)-3, 1)</f>
        <v>N</v>
      </c>
      <c r="L666" s="1" t="str">
        <f>RIGHT(Table1[[#This Row],[Item]],2)</f>
        <v>DG</v>
      </c>
      <c r="M666" s="1" t="s">
        <v>33</v>
      </c>
      <c r="N666" s="3" t="s">
        <v>686</v>
      </c>
      <c r="O666" s="1"/>
    </row>
    <row r="667" spans="1:15" ht="15" customHeight="1">
      <c r="A667" t="s">
        <v>687</v>
      </c>
      <c r="B667" s="1" t="str">
        <f>LEFT(Table1[[#This Row],[Item]], FIND("-", Table1[[#This Row],[Item]]) - 1)</f>
        <v>ARB6</v>
      </c>
      <c r="C667" s="1" t="str">
        <f>MID(LEFT(Table1[[#This Row],[Item]], FIND("{token}", SUBSTITUTE(Table1[[#This Row],[Item]], "-", "{token}", 2)) - 1), FIND("-", Table1[[#This Row],[Item]]) + 1, LEN(Table1[[#This Row],[Item]]))</f>
        <v>L</v>
      </c>
      <c r="D66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6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67" s="1" cm="1">
        <f t="array" ref="F667">VALUE(INDEX(_xlfn.TEXTSPLIT(Table1[[#This Row],[Item]], "-"), 5))</f>
        <v>1</v>
      </c>
      <c r="G667" s="1" cm="1">
        <f t="array" ref="G667">VALUE(INDEX(_xlfn.TEXTSPLIT(Table1[[#This Row],[Item]], "-"), 6))</f>
        <v>0</v>
      </c>
      <c r="H667" s="1" cm="1">
        <f t="array" ref="H667">VALUE(INDEX(_xlfn.TEXTSPLIT(Table1[[#This Row],[Item]], "-"), 7))</f>
        <v>0</v>
      </c>
      <c r="I66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67" s="1" t="str">
        <f>LEFT(RIGHT(Table1[[#This Row],[Item]],6),1)</f>
        <v>Y</v>
      </c>
      <c r="K667" s="1" t="str">
        <f t="shared" si="12"/>
        <v>N</v>
      </c>
      <c r="L667" s="1" t="str">
        <f>RIGHT(Table1[[#This Row],[Item]],2)</f>
        <v>DG</v>
      </c>
      <c r="M667" s="1" t="s">
        <v>33</v>
      </c>
      <c r="N667" s="3" t="s">
        <v>687</v>
      </c>
      <c r="O667" s="1"/>
    </row>
    <row r="668" spans="1:15" ht="15" customHeight="1">
      <c r="A668" t="s">
        <v>688</v>
      </c>
      <c r="B668" s="1" t="str">
        <f>LEFT(Table1[[#This Row],[Item]], FIND("-", Table1[[#This Row],[Item]]) - 1)</f>
        <v>ARB6</v>
      </c>
      <c r="C668" s="1" t="str">
        <f>MID(LEFT(Table1[[#This Row],[Item]], FIND("{token}", SUBSTITUTE(Table1[[#This Row],[Item]], "-", "{token}", 2)) - 1), FIND("-", Table1[[#This Row],[Item]]) + 1, LEN(Table1[[#This Row],[Item]]))</f>
        <v>L</v>
      </c>
      <c r="D66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6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68" s="1" cm="1">
        <f t="array" ref="F668">VALUE(INDEX(_xlfn.TEXTSPLIT(Table1[[#This Row],[Item]], "-"), 5))</f>
        <v>1</v>
      </c>
      <c r="G668" s="1" cm="1">
        <f t="array" ref="G668">VALUE(INDEX(_xlfn.TEXTSPLIT(Table1[[#This Row],[Item]], "-"), 6))</f>
        <v>0</v>
      </c>
      <c r="H668" s="1" cm="1">
        <f t="array" ref="H668">VALUE(INDEX(_xlfn.TEXTSPLIT(Table1[[#This Row],[Item]], "-"), 7))</f>
        <v>0</v>
      </c>
      <c r="I66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68" s="1" t="str">
        <f>LEFT(RIGHT(Table1[[#This Row],[Item]],6),1)</f>
        <v>Y</v>
      </c>
      <c r="K668" s="1" t="str">
        <f t="shared" si="12"/>
        <v>Y</v>
      </c>
      <c r="L668" s="1" t="str">
        <f>RIGHT(Table1[[#This Row],[Item]],2)</f>
        <v>DG</v>
      </c>
      <c r="M668" s="1" t="s">
        <v>33</v>
      </c>
      <c r="N668" s="3" t="s">
        <v>687</v>
      </c>
      <c r="O668" s="1"/>
    </row>
    <row r="669" spans="1:15" ht="15" customHeight="1">
      <c r="A669" t="s">
        <v>689</v>
      </c>
      <c r="B669" s="1" t="str">
        <f>LEFT(Table1[[#This Row],[Item]], FIND("-", Table1[[#This Row],[Item]]) - 1)</f>
        <v>ARB6</v>
      </c>
      <c r="C669" s="1" t="str">
        <f>MID(LEFT(Table1[[#This Row],[Item]], FIND("{token}", SUBSTITUTE(Table1[[#This Row],[Item]], "-", "{token}", 2)) - 1), FIND("-", Table1[[#This Row],[Item]]) + 1, LEN(Table1[[#This Row],[Item]]))</f>
        <v>L</v>
      </c>
      <c r="D66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6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69" s="1" cm="1">
        <f t="array" ref="F669">VALUE(INDEX(_xlfn.TEXTSPLIT(Table1[[#This Row],[Item]], "-"), 5))</f>
        <v>1</v>
      </c>
      <c r="G669" s="1" cm="1">
        <f t="array" ref="G669">VALUE(INDEX(_xlfn.TEXTSPLIT(Table1[[#This Row],[Item]], "-"), 6))</f>
        <v>0</v>
      </c>
      <c r="H669" s="1" cm="1">
        <f t="array" ref="H669">VALUE(INDEX(_xlfn.TEXTSPLIT(Table1[[#This Row],[Item]], "-"), 7))</f>
        <v>0</v>
      </c>
      <c r="I669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69" s="1" t="str">
        <f>LEFT(RIGHT(Table1[[#This Row],[Item]],6),1)</f>
        <v>Y</v>
      </c>
      <c r="K669" s="1" t="str">
        <f t="shared" si="12"/>
        <v>N</v>
      </c>
      <c r="L669" s="1" t="str">
        <f>RIGHT(Table1[[#This Row],[Item]],2)</f>
        <v>DG</v>
      </c>
      <c r="M669" s="1" t="s">
        <v>33</v>
      </c>
      <c r="N669" s="3" t="s">
        <v>687</v>
      </c>
      <c r="O669" s="1"/>
    </row>
    <row r="670" spans="1:15" ht="15" customHeight="1">
      <c r="A670" t="s">
        <v>690</v>
      </c>
      <c r="B670" s="1" t="str">
        <f>LEFT(Table1[[#This Row],[Item]], FIND("-", Table1[[#This Row],[Item]]) - 1)</f>
        <v>ARB6</v>
      </c>
      <c r="C670" s="1" t="str">
        <f>MID(LEFT(Table1[[#This Row],[Item]], FIND("{token}", SUBSTITUTE(Table1[[#This Row],[Item]], "-", "{token}", 2)) - 1), FIND("-", Table1[[#This Row],[Item]]) + 1, LEN(Table1[[#This Row],[Item]]))</f>
        <v>L</v>
      </c>
      <c r="D67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7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70" s="1" cm="1">
        <f t="array" ref="F670">VALUE(INDEX(_xlfn.TEXTSPLIT(Table1[[#This Row],[Item]], "-"), 5))</f>
        <v>1</v>
      </c>
      <c r="G670" s="1" cm="1">
        <f t="array" ref="G670">VALUE(INDEX(_xlfn.TEXTSPLIT(Table1[[#This Row],[Item]], "-"), 6))</f>
        <v>0</v>
      </c>
      <c r="H670" s="1" cm="1">
        <f t="array" ref="H670">VALUE(INDEX(_xlfn.TEXTSPLIT(Table1[[#This Row],[Item]], "-"), 7))</f>
        <v>0</v>
      </c>
      <c r="I670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70" s="1" t="str">
        <f>LEFT(RIGHT(Table1[[#This Row],[Item]],6),1)</f>
        <v>Y</v>
      </c>
      <c r="K670" s="1" t="str">
        <f t="shared" si="12"/>
        <v>Y</v>
      </c>
      <c r="L670" s="1" t="str">
        <f>RIGHT(Table1[[#This Row],[Item]],2)</f>
        <v>DG</v>
      </c>
      <c r="M670" s="1" t="s">
        <v>33</v>
      </c>
      <c r="N670" s="3" t="s">
        <v>690</v>
      </c>
      <c r="O670" s="1"/>
    </row>
    <row r="671" spans="1:15" ht="15" customHeight="1">
      <c r="A671" t="s">
        <v>691</v>
      </c>
      <c r="B671" s="1" t="str">
        <f>LEFT(Table1[[#This Row],[Item]], FIND("-", Table1[[#This Row],[Item]]) - 1)</f>
        <v>ARB6</v>
      </c>
      <c r="C671" s="1" t="str">
        <f>MID(LEFT(Table1[[#This Row],[Item]], FIND("{token}", SUBSTITUTE(Table1[[#This Row],[Item]], "-", "{token}", 2)) - 1), FIND("-", Table1[[#This Row],[Item]]) + 1, LEN(Table1[[#This Row],[Item]]))</f>
        <v>L</v>
      </c>
      <c r="D67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7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71" s="1" cm="1">
        <f t="array" ref="F671">VALUE(INDEX(_xlfn.TEXTSPLIT(Table1[[#This Row],[Item]], "-"), 5))</f>
        <v>1</v>
      </c>
      <c r="G671" s="1" cm="1">
        <f t="array" ref="G671">VALUE(INDEX(_xlfn.TEXTSPLIT(Table1[[#This Row],[Item]], "-"), 6))</f>
        <v>1</v>
      </c>
      <c r="H671" s="1" cm="1">
        <f t="array" ref="H671">VALUE(INDEX(_xlfn.TEXTSPLIT(Table1[[#This Row],[Item]], "-"), 7))</f>
        <v>0</v>
      </c>
      <c r="I67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71" s="1" t="str">
        <f>LEFT(RIGHT(Table1[[#This Row],[Item]],6),1)</f>
        <v>Y</v>
      </c>
      <c r="K671" s="1" t="str">
        <f t="shared" si="12"/>
        <v>Y</v>
      </c>
      <c r="L671" s="1" t="str">
        <f>RIGHT(Table1[[#This Row],[Item]],2)</f>
        <v>DG</v>
      </c>
      <c r="M671" s="1" t="s">
        <v>33</v>
      </c>
      <c r="N671" s="3" t="s">
        <v>687</v>
      </c>
      <c r="O671" s="1"/>
    </row>
    <row r="672" spans="1:15" ht="15" customHeight="1">
      <c r="A672" t="s">
        <v>692</v>
      </c>
      <c r="B672" s="1" t="str">
        <f>LEFT(Table1[[#This Row],[Item]], FIND("-", Table1[[#This Row],[Item]]) - 1)</f>
        <v>ARB8</v>
      </c>
      <c r="C672" s="1" t="str">
        <f>MID(LEFT(Table1[[#This Row],[Item]], FIND("{token}", SUBSTITUTE(Table1[[#This Row],[Item]], "-", "{token}", 2)) - 1), FIND("-", Table1[[#This Row],[Item]]) + 1, LEN(Table1[[#This Row],[Item]]))</f>
        <v>L</v>
      </c>
      <c r="D672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67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72" s="1" cm="1">
        <f t="array" ref="F672">VALUE(INDEX(_xlfn.TEXTSPLIT(Table1[[#This Row],[Item]], "-"), 5))</f>
        <v>1</v>
      </c>
      <c r="G672" s="1" cm="1">
        <f t="array" ref="G672">VALUE(INDEX(_xlfn.TEXTSPLIT(Table1[[#This Row],[Item]], "-"), 6))</f>
        <v>0</v>
      </c>
      <c r="H672" s="1" cm="1">
        <f t="array" ref="H672">VALUE(INDEX(_xlfn.TEXTSPLIT(Table1[[#This Row],[Item]], "-"), 7))</f>
        <v>0</v>
      </c>
      <c r="I672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72" s="1" t="str">
        <f>LEFT(RIGHT(Table1[[#This Row],[Item]],6),1)</f>
        <v>Y</v>
      </c>
      <c r="K672" s="1" t="str">
        <f t="shared" si="12"/>
        <v>N</v>
      </c>
      <c r="L672" s="1" t="str">
        <f>RIGHT(Table1[[#This Row],[Item]],2)</f>
        <v>DG</v>
      </c>
      <c r="M672" s="1" t="s">
        <v>33</v>
      </c>
      <c r="N672" s="3" t="s">
        <v>693</v>
      </c>
      <c r="O672" s="1"/>
    </row>
    <row r="673" spans="1:15" ht="15" customHeight="1">
      <c r="A673" t="s">
        <v>694</v>
      </c>
      <c r="B673" s="1" t="str">
        <f>LEFT(Table1[[#This Row],[Item]], FIND("-", Table1[[#This Row],[Item]]) - 1)</f>
        <v>ARB8</v>
      </c>
      <c r="C673" s="1" t="str">
        <f>MID(LEFT(Table1[[#This Row],[Item]], FIND("{token}", SUBSTITUTE(Table1[[#This Row],[Item]], "-", "{token}", 2)) - 1), FIND("-", Table1[[#This Row],[Item]]) + 1, LEN(Table1[[#This Row],[Item]]))</f>
        <v>L</v>
      </c>
      <c r="D673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67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73" s="1" cm="1">
        <f t="array" ref="F673">VALUE(INDEX(_xlfn.TEXTSPLIT(Table1[[#This Row],[Item]], "-"), 5))</f>
        <v>1</v>
      </c>
      <c r="G673" s="1" cm="1">
        <f t="array" ref="G673">VALUE(INDEX(_xlfn.TEXTSPLIT(Table1[[#This Row],[Item]], "-"), 6))</f>
        <v>0</v>
      </c>
      <c r="H673" s="1" cm="1">
        <f t="array" ref="H673">VALUE(INDEX(_xlfn.TEXTSPLIT(Table1[[#This Row],[Item]], "-"), 7))</f>
        <v>0</v>
      </c>
      <c r="I673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73" s="1" t="str">
        <f>LEFT(RIGHT(Table1[[#This Row],[Item]],6),1)</f>
        <v>Y</v>
      </c>
      <c r="K673" s="1" t="str">
        <f t="shared" si="12"/>
        <v>Y</v>
      </c>
      <c r="L673" s="1" t="str">
        <f>RIGHT(Table1[[#This Row],[Item]],2)</f>
        <v>DG</v>
      </c>
      <c r="M673" s="1" t="s">
        <v>33</v>
      </c>
      <c r="N673" s="3" t="s">
        <v>695</v>
      </c>
      <c r="O673" s="1"/>
    </row>
    <row r="674" spans="1:15" ht="15" customHeight="1">
      <c r="A674" t="s">
        <v>696</v>
      </c>
      <c r="B674" s="1" t="str">
        <f>LEFT(Table1[[#This Row],[Item]], FIND("-", Table1[[#This Row],[Item]]) - 1)</f>
        <v>ARB8</v>
      </c>
      <c r="C674" s="1" t="str">
        <f>MID(LEFT(Table1[[#This Row],[Item]], FIND("{token}", SUBSTITUTE(Table1[[#This Row],[Item]], "-", "{token}", 2)) - 1), FIND("-", Table1[[#This Row],[Item]]) + 1, LEN(Table1[[#This Row],[Item]]))</f>
        <v>L</v>
      </c>
      <c r="D674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67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74" s="1" cm="1">
        <f t="array" ref="F674">VALUE(INDEX(_xlfn.TEXTSPLIT(Table1[[#This Row],[Item]], "-"), 5))</f>
        <v>1</v>
      </c>
      <c r="G674" s="1" cm="1">
        <f t="array" ref="G674">VALUE(INDEX(_xlfn.TEXTSPLIT(Table1[[#This Row],[Item]], "-"), 6))</f>
        <v>1</v>
      </c>
      <c r="H674" s="1" cm="1">
        <f t="array" ref="H674">VALUE(INDEX(_xlfn.TEXTSPLIT(Table1[[#This Row],[Item]], "-"), 7))</f>
        <v>0</v>
      </c>
      <c r="I674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74" s="1" t="str">
        <f>LEFT(RIGHT(Table1[[#This Row],[Item]],6),1)</f>
        <v>Y</v>
      </c>
      <c r="K674" s="1" t="str">
        <f t="shared" si="12"/>
        <v>N</v>
      </c>
      <c r="L674" s="1" t="str">
        <f>RIGHT(Table1[[#This Row],[Item]],2)</f>
        <v>DG</v>
      </c>
      <c r="M674" s="1" t="s">
        <v>33</v>
      </c>
      <c r="N674" s="3" t="s">
        <v>693</v>
      </c>
      <c r="O674" s="1"/>
    </row>
    <row r="675" spans="1:15" ht="15" customHeight="1">
      <c r="A675" t="s">
        <v>697</v>
      </c>
      <c r="B675" s="1" t="str">
        <f>LEFT(Table1[[#This Row],[Item]], FIND("-", Table1[[#This Row],[Item]]) - 1)</f>
        <v>ARB8</v>
      </c>
      <c r="C675" s="1" t="str">
        <f>MID(LEFT(Table1[[#This Row],[Item]], FIND("{token}", SUBSTITUTE(Table1[[#This Row],[Item]], "-", "{token}", 2)) - 1), FIND("-", Table1[[#This Row],[Item]]) + 1, LEN(Table1[[#This Row],[Item]]))</f>
        <v>L</v>
      </c>
      <c r="D675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67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75" s="1" cm="1">
        <f t="array" ref="F675">VALUE(INDEX(_xlfn.TEXTSPLIT(Table1[[#This Row],[Item]], "-"), 5))</f>
        <v>1</v>
      </c>
      <c r="G675" s="1" cm="1">
        <f t="array" ref="G675">VALUE(INDEX(_xlfn.TEXTSPLIT(Table1[[#This Row],[Item]], "-"), 6))</f>
        <v>1</v>
      </c>
      <c r="H675" s="1" cm="1">
        <f t="array" ref="H675">VALUE(INDEX(_xlfn.TEXTSPLIT(Table1[[#This Row],[Item]], "-"), 7))</f>
        <v>0</v>
      </c>
      <c r="I675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75" s="1" t="str">
        <f>LEFT(RIGHT(Table1[[#This Row],[Item]],6),1)</f>
        <v>Y</v>
      </c>
      <c r="K675" s="1" t="str">
        <f t="shared" si="12"/>
        <v>Y</v>
      </c>
      <c r="L675" s="1" t="str">
        <f>RIGHT(Table1[[#This Row],[Item]],2)</f>
        <v>DG</v>
      </c>
      <c r="M675" s="1" t="s">
        <v>33</v>
      </c>
      <c r="N675" s="3" t="s">
        <v>695</v>
      </c>
      <c r="O675" s="1"/>
    </row>
    <row r="676" spans="1:15" ht="15" customHeight="1">
      <c r="A676" t="s">
        <v>698</v>
      </c>
      <c r="B676" s="1" t="str">
        <f>LEFT(Table1[[#This Row],[Item]], FIND("-", Table1[[#This Row],[Item]]) - 1)</f>
        <v>ARB8</v>
      </c>
      <c r="C676" s="1" t="str">
        <f>MID(LEFT(Table1[[#This Row],[Item]], FIND("{token}", SUBSTITUTE(Table1[[#This Row],[Item]], "-", "{token}", 2)) - 1), FIND("-", Table1[[#This Row],[Item]]) + 1, LEN(Table1[[#This Row],[Item]]))</f>
        <v>L</v>
      </c>
      <c r="D67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7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76" s="1" cm="1">
        <f t="array" ref="F676">VALUE(INDEX(_xlfn.TEXTSPLIT(Table1[[#This Row],[Item]], "-"), 5))</f>
        <v>1</v>
      </c>
      <c r="G676" s="1" cm="1">
        <f t="array" ref="G676">VALUE(INDEX(_xlfn.TEXTSPLIT(Table1[[#This Row],[Item]], "-"), 6))</f>
        <v>0</v>
      </c>
      <c r="H676" s="1" cm="1">
        <f t="array" ref="H676">VALUE(INDEX(_xlfn.TEXTSPLIT(Table1[[#This Row],[Item]], "-"), 7))</f>
        <v>0</v>
      </c>
      <c r="I676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76" s="1" t="str">
        <f>LEFT(RIGHT(Table1[[#This Row],[Item]],6),1)</f>
        <v>N</v>
      </c>
      <c r="K676" s="1" t="str">
        <f t="shared" si="12"/>
        <v>Y</v>
      </c>
      <c r="L676" s="1" t="str">
        <f>RIGHT(Table1[[#This Row],[Item]],2)</f>
        <v>DG</v>
      </c>
      <c r="M676" s="1" t="s">
        <v>33</v>
      </c>
      <c r="N676" s="3" t="s">
        <v>695</v>
      </c>
      <c r="O676" s="1"/>
    </row>
    <row r="677" spans="1:15" ht="15" customHeight="1">
      <c r="A677" t="s">
        <v>693</v>
      </c>
      <c r="B677" s="1" t="str">
        <f>LEFT(Table1[[#This Row],[Item]], FIND("-", Table1[[#This Row],[Item]]) - 1)</f>
        <v>ARB8</v>
      </c>
      <c r="C677" s="1" t="str">
        <f>MID(LEFT(Table1[[#This Row],[Item]], FIND("{token}", SUBSTITUTE(Table1[[#This Row],[Item]], "-", "{token}", 2)) - 1), FIND("-", Table1[[#This Row],[Item]]) + 1, LEN(Table1[[#This Row],[Item]]))</f>
        <v>L</v>
      </c>
      <c r="D67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7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77" s="1" cm="1">
        <f t="array" ref="F677">VALUE(INDEX(_xlfn.TEXTSPLIT(Table1[[#This Row],[Item]], "-"), 5))</f>
        <v>1</v>
      </c>
      <c r="G677" s="1" cm="1">
        <f t="array" ref="G677">VALUE(INDEX(_xlfn.TEXTSPLIT(Table1[[#This Row],[Item]], "-"), 6))</f>
        <v>0</v>
      </c>
      <c r="H677" s="1" cm="1">
        <f t="array" ref="H677">VALUE(INDEX(_xlfn.TEXTSPLIT(Table1[[#This Row],[Item]], "-"), 7))</f>
        <v>0</v>
      </c>
      <c r="I677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77" s="1" t="str">
        <f>LEFT(RIGHT(Table1[[#This Row],[Item]],6),1)</f>
        <v>Y</v>
      </c>
      <c r="K677" s="1" t="str">
        <f t="shared" si="12"/>
        <v>N</v>
      </c>
      <c r="L677" s="1" t="str">
        <f>RIGHT(Table1[[#This Row],[Item]],2)</f>
        <v>DG</v>
      </c>
      <c r="M677" s="1" t="s">
        <v>33</v>
      </c>
      <c r="N677" s="3" t="s">
        <v>693</v>
      </c>
      <c r="O677" s="1"/>
    </row>
    <row r="678" spans="1:15" ht="15" customHeight="1">
      <c r="A678" t="s">
        <v>695</v>
      </c>
      <c r="B678" s="1" t="str">
        <f>LEFT(Table1[[#This Row],[Item]], FIND("-", Table1[[#This Row],[Item]]) - 1)</f>
        <v>ARB8</v>
      </c>
      <c r="C678" s="1" t="str">
        <f>MID(LEFT(Table1[[#This Row],[Item]], FIND("{token}", SUBSTITUTE(Table1[[#This Row],[Item]], "-", "{token}", 2)) - 1), FIND("-", Table1[[#This Row],[Item]]) + 1, LEN(Table1[[#This Row],[Item]]))</f>
        <v>L</v>
      </c>
      <c r="D67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7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78" s="1" cm="1">
        <f t="array" ref="F678">VALUE(INDEX(_xlfn.TEXTSPLIT(Table1[[#This Row],[Item]], "-"), 5))</f>
        <v>1</v>
      </c>
      <c r="G678" s="1" cm="1">
        <f t="array" ref="G678">VALUE(INDEX(_xlfn.TEXTSPLIT(Table1[[#This Row],[Item]], "-"), 6))</f>
        <v>0</v>
      </c>
      <c r="H678" s="1" cm="1">
        <f t="array" ref="H678">VALUE(INDEX(_xlfn.TEXTSPLIT(Table1[[#This Row],[Item]], "-"), 7))</f>
        <v>0</v>
      </c>
      <c r="I678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78" s="1" t="str">
        <f>LEFT(RIGHT(Table1[[#This Row],[Item]],6),1)</f>
        <v>Y</v>
      </c>
      <c r="K678" s="1" t="str">
        <f t="shared" si="12"/>
        <v>Y</v>
      </c>
      <c r="L678" s="1" t="str">
        <f>RIGHT(Table1[[#This Row],[Item]],2)</f>
        <v>DG</v>
      </c>
      <c r="M678" s="1" t="s">
        <v>33</v>
      </c>
      <c r="N678" s="3" t="s">
        <v>695</v>
      </c>
      <c r="O678" s="1"/>
    </row>
    <row r="679" spans="1:15" ht="15" customHeight="1">
      <c r="A679" t="s">
        <v>699</v>
      </c>
      <c r="B679" s="1" t="str">
        <f>LEFT(Table1[[#This Row],[Item]], FIND("-", Table1[[#This Row],[Item]]) - 1)</f>
        <v>ARB8</v>
      </c>
      <c r="C679" s="1" t="str">
        <f>MID(LEFT(Table1[[#This Row],[Item]], FIND("{token}", SUBSTITUTE(Table1[[#This Row],[Item]], "-", "{token}", 2)) - 1), FIND("-", Table1[[#This Row],[Item]]) + 1, LEN(Table1[[#This Row],[Item]]))</f>
        <v>L</v>
      </c>
      <c r="D67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7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79" s="1" cm="1">
        <f t="array" ref="F679">VALUE(INDEX(_xlfn.TEXTSPLIT(Table1[[#This Row],[Item]], "-"), 5))</f>
        <v>1</v>
      </c>
      <c r="G679" s="1" cm="1">
        <f t="array" ref="G679">VALUE(INDEX(_xlfn.TEXTSPLIT(Table1[[#This Row],[Item]], "-"), 6))</f>
        <v>1</v>
      </c>
      <c r="H679" s="1" cm="1">
        <f t="array" ref="H679">VALUE(INDEX(_xlfn.TEXTSPLIT(Table1[[#This Row],[Item]], "-"), 7))</f>
        <v>0</v>
      </c>
      <c r="I679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79" s="1" t="str">
        <f>LEFT(RIGHT(Table1[[#This Row],[Item]],6),1)</f>
        <v>Y</v>
      </c>
      <c r="K679" s="1" t="str">
        <f t="shared" si="12"/>
        <v>N</v>
      </c>
      <c r="L679" s="1" t="str">
        <f>RIGHT(Table1[[#This Row],[Item]],2)</f>
        <v>DG</v>
      </c>
      <c r="M679" s="1" t="s">
        <v>33</v>
      </c>
      <c r="N679" s="3" t="s">
        <v>693</v>
      </c>
      <c r="O679" s="1"/>
    </row>
    <row r="680" spans="1:15" ht="15" customHeight="1">
      <c r="A680" t="s">
        <v>700</v>
      </c>
      <c r="B680" s="1" t="str">
        <f>LEFT(Table1[[#This Row],[Item]], FIND("-", Table1[[#This Row],[Item]]) - 1)</f>
        <v>ARB8</v>
      </c>
      <c r="C680" s="1" t="str">
        <f>MID(LEFT(Table1[[#This Row],[Item]], FIND("{token}", SUBSTITUTE(Table1[[#This Row],[Item]], "-", "{token}", 2)) - 1), FIND("-", Table1[[#This Row],[Item]]) + 1, LEN(Table1[[#This Row],[Item]]))</f>
        <v>L</v>
      </c>
      <c r="D68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8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80" s="1" cm="1">
        <f t="array" ref="F680">VALUE(INDEX(_xlfn.TEXTSPLIT(Table1[[#This Row],[Item]], "-"), 5))</f>
        <v>1</v>
      </c>
      <c r="G680" s="1" cm="1">
        <f t="array" ref="G680">VALUE(INDEX(_xlfn.TEXTSPLIT(Table1[[#This Row],[Item]], "-"), 6))</f>
        <v>1</v>
      </c>
      <c r="H680" s="1" cm="1">
        <f t="array" ref="H680">VALUE(INDEX(_xlfn.TEXTSPLIT(Table1[[#This Row],[Item]], "-"), 7))</f>
        <v>0</v>
      </c>
      <c r="I680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80" s="1" t="str">
        <f>LEFT(RIGHT(Table1[[#This Row],[Item]],6),1)</f>
        <v>Y</v>
      </c>
      <c r="K680" s="1" t="str">
        <f t="shared" si="12"/>
        <v>Y</v>
      </c>
      <c r="L680" s="1" t="str">
        <f>RIGHT(Table1[[#This Row],[Item]],2)</f>
        <v>DG</v>
      </c>
      <c r="M680" s="1" t="s">
        <v>33</v>
      </c>
      <c r="N680" s="3" t="s">
        <v>695</v>
      </c>
      <c r="O680" s="1"/>
    </row>
    <row r="681" spans="1:15" ht="15" customHeight="1">
      <c r="A681" t="s">
        <v>701</v>
      </c>
      <c r="B681" s="1" t="str">
        <f>LEFT(Table1[[#This Row],[Item]], FIND("-", Table1[[#This Row],[Item]]) - 1)</f>
        <v>ARB8</v>
      </c>
      <c r="C681" s="1" t="str">
        <f>MID(LEFT(Table1[[#This Row],[Item]], FIND("{token}", SUBSTITUTE(Table1[[#This Row],[Item]], "-", "{token}", 2)) - 1), FIND("-", Table1[[#This Row],[Item]]) + 1, LEN(Table1[[#This Row],[Item]]))</f>
        <v>LXL</v>
      </c>
      <c r="D68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8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81" s="1" cm="1">
        <f t="array" ref="F681">VALUE(INDEX(_xlfn.TEXTSPLIT(Table1[[#This Row],[Item]], "-"), 5))</f>
        <v>1</v>
      </c>
      <c r="G681" s="1" cm="1">
        <f t="array" ref="G681">VALUE(INDEX(_xlfn.TEXTSPLIT(Table1[[#This Row],[Item]], "-"), 6))</f>
        <v>1</v>
      </c>
      <c r="H681" s="1" cm="1">
        <f t="array" ref="H681">VALUE(INDEX(_xlfn.TEXTSPLIT(Table1[[#This Row],[Item]], "-"), 7))</f>
        <v>0</v>
      </c>
      <c r="I681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681" s="1" t="str">
        <f>LEFT(RIGHT(Table1[[#This Row],[Item]],6),1)</f>
        <v>Y</v>
      </c>
      <c r="K681" s="1" t="str">
        <f t="shared" si="12"/>
        <v>N</v>
      </c>
      <c r="L681" s="1" t="str">
        <f>RIGHT(Table1[[#This Row],[Item]],2)</f>
        <v>DG</v>
      </c>
      <c r="M681" s="1" t="s">
        <v>33</v>
      </c>
      <c r="N681" s="3" t="s">
        <v>701</v>
      </c>
      <c r="O681" s="1"/>
    </row>
    <row r="682" spans="1:15" ht="15" customHeight="1">
      <c r="A682" t="s">
        <v>702</v>
      </c>
      <c r="B682" s="1" t="str">
        <f>LEFT(Table1[[#This Row],[Item]], FIND("-", Table1[[#This Row],[Item]]) - 1)</f>
        <v>FIREPIT</v>
      </c>
      <c r="C682" s="1" t="str">
        <f>MID(LEFT(Table1[[#This Row],[Item]], FIND("{token}", SUBSTITUTE(Table1[[#This Row],[Item]], "-", "{token}", 2)) - 1), FIND("-", Table1[[#This Row],[Item]]) + 1, LEN(Table1[[#This Row],[Item]]))</f>
        <v>N</v>
      </c>
      <c r="D68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8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682" s="1" cm="1">
        <f t="array" ref="F682">VALUE(INDEX(_xlfn.TEXTSPLIT(Table1[[#This Row],[Item]], "-"), 5))</f>
        <v>0</v>
      </c>
      <c r="G682" s="1" cm="1">
        <f t="array" ref="G682">VALUE(INDEX(_xlfn.TEXTSPLIT(Table1[[#This Row],[Item]], "-"), 6))</f>
        <v>0</v>
      </c>
      <c r="H682" s="1" cm="1">
        <f t="array" ref="H682">VALUE(INDEX(_xlfn.TEXTSPLIT(Table1[[#This Row],[Item]], "-"), 7))</f>
        <v>0</v>
      </c>
      <c r="I68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82" s="1" t="str">
        <f>LEFT(RIGHT(Table1[[#This Row],[Item]],6),1)</f>
        <v>N</v>
      </c>
      <c r="K682" s="1" t="str">
        <f t="shared" si="12"/>
        <v>N</v>
      </c>
      <c r="L682" s="1" t="str">
        <f>RIGHT(Table1[[#This Row],[Item]],2)</f>
        <v>DG</v>
      </c>
      <c r="M682" s="1" t="s">
        <v>33</v>
      </c>
      <c r="N682" s="3" t="s">
        <v>702</v>
      </c>
      <c r="O682" s="1"/>
    </row>
    <row r="683" spans="1:15" ht="15" customHeight="1">
      <c r="A683" t="s">
        <v>703</v>
      </c>
      <c r="B683" s="1" t="str">
        <f>LEFT(Table1[[#This Row],[Item]], FIND("-", Table1[[#This Row],[Item]]) - 1)</f>
        <v>GX03</v>
      </c>
      <c r="C683" s="1" t="str">
        <f>MID(LEFT(Table1[[#This Row],[Item]], FIND("{token}", SUBSTITUTE(Table1[[#This Row],[Item]], "-", "{token}", 2)) - 1), FIND("-", Table1[[#This Row],[Item]]) + 1, LEN(Table1[[#This Row],[Item]]))</f>
        <v>C</v>
      </c>
      <c r="D68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8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83" s="1" cm="1">
        <f t="array" ref="F683">VALUE(INDEX(_xlfn.TEXTSPLIT(Table1[[#This Row],[Item]], "-"), 5))</f>
        <v>0</v>
      </c>
      <c r="G683" s="1" cm="1">
        <f t="array" ref="G683">VALUE(INDEX(_xlfn.TEXTSPLIT(Table1[[#This Row],[Item]], "-"), 6))</f>
        <v>0</v>
      </c>
      <c r="H683" s="1" cm="1">
        <f t="array" ref="H683">VALUE(INDEX(_xlfn.TEXTSPLIT(Table1[[#This Row],[Item]], "-"), 7))</f>
        <v>0</v>
      </c>
      <c r="I68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83" s="1" t="str">
        <f>LEFT(RIGHT(Table1[[#This Row],[Item]],6),1)</f>
        <v>N</v>
      </c>
      <c r="K683" s="1" t="str">
        <f t="shared" si="12"/>
        <v>N</v>
      </c>
      <c r="L683" s="1" t="str">
        <f>RIGHT(Table1[[#This Row],[Item]],2)</f>
        <v>DG</v>
      </c>
      <c r="M683" s="1" t="s">
        <v>33</v>
      </c>
      <c r="N683" s="3" t="s">
        <v>703</v>
      </c>
      <c r="O683" s="1"/>
    </row>
    <row r="684" spans="1:15" ht="15" customHeight="1">
      <c r="A684" t="s">
        <v>704</v>
      </c>
      <c r="B684" s="1" t="str">
        <f>LEFT(Table1[[#This Row],[Item]], FIND("-", Table1[[#This Row],[Item]]) - 1)</f>
        <v>GX04</v>
      </c>
      <c r="C684" s="1" t="str">
        <f>MID(LEFT(Table1[[#This Row],[Item]], FIND("{token}", SUBSTITUTE(Table1[[#This Row],[Item]], "-", "{token}", 2)) - 1), FIND("-", Table1[[#This Row],[Item]]) + 1, LEN(Table1[[#This Row],[Item]]))</f>
        <v>R</v>
      </c>
      <c r="D684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68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684" s="1" cm="1">
        <f t="array" ref="F684">VALUE(INDEX(_xlfn.TEXTSPLIT(Table1[[#This Row],[Item]], "-"), 5))</f>
        <v>0</v>
      </c>
      <c r="G684" s="1" cm="1">
        <f t="array" ref="G684">VALUE(INDEX(_xlfn.TEXTSPLIT(Table1[[#This Row],[Item]], "-"), 6))</f>
        <v>0</v>
      </c>
      <c r="H684" s="1" cm="1">
        <f t="array" ref="H684">VALUE(INDEX(_xlfn.TEXTSPLIT(Table1[[#This Row],[Item]], "-"), 7))</f>
        <v>1</v>
      </c>
      <c r="I68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84" s="1" t="str">
        <f>LEFT(RIGHT(Table1[[#This Row],[Item]],6),1)</f>
        <v>N</v>
      </c>
      <c r="K684" s="1" t="str">
        <f t="shared" si="12"/>
        <v>N</v>
      </c>
      <c r="L684" s="1" t="str">
        <f>RIGHT(Table1[[#This Row],[Item]],2)</f>
        <v>DG</v>
      </c>
      <c r="M684" s="1" t="s">
        <v>33</v>
      </c>
      <c r="N684" s="3" t="s">
        <v>704</v>
      </c>
      <c r="O684" s="1"/>
    </row>
    <row r="685" spans="1:15" ht="15" customHeight="1">
      <c r="A685" t="s">
        <v>705</v>
      </c>
      <c r="B685" s="1" t="str">
        <f>LEFT(Table1[[#This Row],[Item]], FIND("-", Table1[[#This Row],[Item]]) - 1)</f>
        <v>GX04</v>
      </c>
      <c r="C685" s="1" t="str">
        <f>MID(LEFT(Table1[[#This Row],[Item]], FIND("{token}", SUBSTITUTE(Table1[[#This Row],[Item]], "-", "{token}", 2)) - 1), FIND("-", Table1[[#This Row],[Item]]) + 1, LEN(Table1[[#This Row],[Item]]))</f>
        <v>R</v>
      </c>
      <c r="D685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68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85" s="1" cm="1">
        <f t="array" ref="F685">VALUE(INDEX(_xlfn.TEXTSPLIT(Table1[[#This Row],[Item]], "-"), 5))</f>
        <v>0</v>
      </c>
      <c r="G685" s="1" cm="1">
        <f t="array" ref="G685">VALUE(INDEX(_xlfn.TEXTSPLIT(Table1[[#This Row],[Item]], "-"), 6))</f>
        <v>0</v>
      </c>
      <c r="H685" s="1" cm="1">
        <f t="array" ref="H685">VALUE(INDEX(_xlfn.TEXTSPLIT(Table1[[#This Row],[Item]], "-"), 7))</f>
        <v>0</v>
      </c>
      <c r="I68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85" s="1" t="str">
        <f>LEFT(RIGHT(Table1[[#This Row],[Item]],6),1)</f>
        <v>N</v>
      </c>
      <c r="K685" s="1" t="str">
        <f t="shared" si="12"/>
        <v>N</v>
      </c>
      <c r="L685" s="1" t="str">
        <f>RIGHT(Table1[[#This Row],[Item]],2)</f>
        <v>DG</v>
      </c>
      <c r="M685" s="1" t="s">
        <v>33</v>
      </c>
      <c r="N685" s="3" t="s">
        <v>706</v>
      </c>
      <c r="O685" s="1"/>
    </row>
    <row r="686" spans="1:15" ht="15" customHeight="1">
      <c r="A686" t="s">
        <v>707</v>
      </c>
      <c r="B686" s="1" t="str">
        <f>LEFT(Table1[[#This Row],[Item]], FIND("-", Table1[[#This Row],[Item]]) - 1)</f>
        <v>GX04</v>
      </c>
      <c r="C686" s="1" t="str">
        <f>MID(LEFT(Table1[[#This Row],[Item]], FIND("{token}", SUBSTITUTE(Table1[[#This Row],[Item]], "-", "{token}", 2)) - 1), FIND("-", Table1[[#This Row],[Item]]) + 1, LEN(Table1[[#This Row],[Item]]))</f>
        <v>R</v>
      </c>
      <c r="D686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68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86" s="1" cm="1">
        <f t="array" ref="F686">VALUE(INDEX(_xlfn.TEXTSPLIT(Table1[[#This Row],[Item]], "-"), 5))</f>
        <v>0</v>
      </c>
      <c r="G686" s="1" cm="1">
        <f t="array" ref="G686">VALUE(INDEX(_xlfn.TEXTSPLIT(Table1[[#This Row],[Item]], "-"), 6))</f>
        <v>1</v>
      </c>
      <c r="H686" s="1" cm="1">
        <f t="array" ref="H686">VALUE(INDEX(_xlfn.TEXTSPLIT(Table1[[#This Row],[Item]], "-"), 7))</f>
        <v>0</v>
      </c>
      <c r="I68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86" s="1" t="str">
        <f>LEFT(RIGHT(Table1[[#This Row],[Item]],6),1)</f>
        <v>N</v>
      </c>
      <c r="K686" s="1" t="str">
        <f t="shared" si="12"/>
        <v>N</v>
      </c>
      <c r="L686" s="1" t="str">
        <f>RIGHT(Table1[[#This Row],[Item]],2)</f>
        <v>DG</v>
      </c>
      <c r="M686" s="1" t="s">
        <v>33</v>
      </c>
      <c r="N686" s="3" t="s">
        <v>706</v>
      </c>
      <c r="O686" s="1"/>
    </row>
    <row r="687" spans="1:15" ht="15" customHeight="1">
      <c r="A687" t="s">
        <v>706</v>
      </c>
      <c r="B687" s="1" t="str">
        <f>LEFT(Table1[[#This Row],[Item]], FIND("-", Table1[[#This Row],[Item]]) - 1)</f>
        <v>GX04</v>
      </c>
      <c r="C687" s="1" t="str">
        <f>MID(LEFT(Table1[[#This Row],[Item]], FIND("{token}", SUBSTITUTE(Table1[[#This Row],[Item]], "-", "{token}", 2)) - 1), FIND("-", Table1[[#This Row],[Item]]) + 1, LEN(Table1[[#This Row],[Item]]))</f>
        <v>R</v>
      </c>
      <c r="D68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8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87" s="1" cm="1">
        <f t="array" ref="F687">VALUE(INDEX(_xlfn.TEXTSPLIT(Table1[[#This Row],[Item]], "-"), 5))</f>
        <v>0</v>
      </c>
      <c r="G687" s="1" cm="1">
        <f t="array" ref="G687">VALUE(INDEX(_xlfn.TEXTSPLIT(Table1[[#This Row],[Item]], "-"), 6))</f>
        <v>0</v>
      </c>
      <c r="H687" s="1" cm="1">
        <f t="array" ref="H687">VALUE(INDEX(_xlfn.TEXTSPLIT(Table1[[#This Row],[Item]], "-"), 7))</f>
        <v>0</v>
      </c>
      <c r="I68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87" s="1" t="str">
        <f>LEFT(RIGHT(Table1[[#This Row],[Item]],6),1)</f>
        <v>N</v>
      </c>
      <c r="K687" s="1" t="str">
        <f t="shared" si="12"/>
        <v>N</v>
      </c>
      <c r="L687" s="1" t="str">
        <f>RIGHT(Table1[[#This Row],[Item]],2)</f>
        <v>DG</v>
      </c>
      <c r="M687" s="1" t="s">
        <v>33</v>
      </c>
      <c r="N687" s="3" t="s">
        <v>706</v>
      </c>
      <c r="O687" s="1"/>
    </row>
    <row r="688" spans="1:15" ht="15" customHeight="1">
      <c r="A688" t="s">
        <v>708</v>
      </c>
      <c r="B688" s="1" t="str">
        <f>LEFT(Table1[[#This Row],[Item]], FIND("-", Table1[[#This Row],[Item]]) - 1)</f>
        <v>GX04</v>
      </c>
      <c r="C688" s="1" t="str">
        <f>MID(LEFT(Table1[[#This Row],[Item]], FIND("{token}", SUBSTITUTE(Table1[[#This Row],[Item]], "-", "{token}", 2)) - 1), FIND("-", Table1[[#This Row],[Item]]) + 1, LEN(Table1[[#This Row],[Item]]))</f>
        <v>R</v>
      </c>
      <c r="D68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8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88" s="1" cm="1">
        <f t="array" ref="F688">VALUE(INDEX(_xlfn.TEXTSPLIT(Table1[[#This Row],[Item]], "-"), 5))</f>
        <v>0</v>
      </c>
      <c r="G688" s="1" cm="1">
        <f t="array" ref="G688">VALUE(INDEX(_xlfn.TEXTSPLIT(Table1[[#This Row],[Item]], "-"), 6))</f>
        <v>1</v>
      </c>
      <c r="H688" s="1" cm="1">
        <f t="array" ref="H688">VALUE(INDEX(_xlfn.TEXTSPLIT(Table1[[#This Row],[Item]], "-"), 7))</f>
        <v>0</v>
      </c>
      <c r="I68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88" s="1" t="str">
        <f>LEFT(RIGHT(Table1[[#This Row],[Item]],6),1)</f>
        <v>N</v>
      </c>
      <c r="K688" s="1" t="str">
        <f t="shared" si="12"/>
        <v>N</v>
      </c>
      <c r="L688" s="1" t="str">
        <f>RIGHT(Table1[[#This Row],[Item]],2)</f>
        <v>DG</v>
      </c>
      <c r="M688" s="1" t="s">
        <v>33</v>
      </c>
      <c r="N688" s="3" t="s">
        <v>706</v>
      </c>
      <c r="O688" s="1"/>
    </row>
    <row r="689" spans="1:15" ht="15" customHeight="1">
      <c r="A689" t="s">
        <v>709</v>
      </c>
      <c r="B689" s="1" t="str">
        <f>LEFT(Table1[[#This Row],[Item]], FIND("-", Table1[[#This Row],[Item]]) - 1)</f>
        <v>GX04</v>
      </c>
      <c r="C689" s="1" t="str">
        <f>MID(LEFT(Table1[[#This Row],[Item]], FIND("{token}", SUBSTITUTE(Table1[[#This Row],[Item]], "-", "{token}", 2)) - 1), FIND("-", Table1[[#This Row],[Item]]) + 1, LEN(Table1[[#This Row],[Item]]))</f>
        <v>RXL</v>
      </c>
      <c r="D68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8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89" s="1" cm="1">
        <f t="array" ref="F689">VALUE(INDEX(_xlfn.TEXTSPLIT(Table1[[#This Row],[Item]], "-"), 5))</f>
        <v>0</v>
      </c>
      <c r="G689" s="1" cm="1">
        <f t="array" ref="G689">VALUE(INDEX(_xlfn.TEXTSPLIT(Table1[[#This Row],[Item]], "-"), 6))</f>
        <v>1</v>
      </c>
      <c r="H689" s="1" cm="1">
        <f t="array" ref="H689">VALUE(INDEX(_xlfn.TEXTSPLIT(Table1[[#This Row],[Item]], "-"), 7))</f>
        <v>0</v>
      </c>
      <c r="I68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89" s="1" t="str">
        <f>LEFT(RIGHT(Table1[[#This Row],[Item]],6),1)</f>
        <v>N</v>
      </c>
      <c r="K689" s="1" t="str">
        <f t="shared" si="12"/>
        <v>N</v>
      </c>
      <c r="L689" s="1" t="str">
        <f>RIGHT(Table1[[#This Row],[Item]],2)</f>
        <v>DG</v>
      </c>
      <c r="M689" s="1" t="s">
        <v>33</v>
      </c>
      <c r="N689" s="3" t="s">
        <v>709</v>
      </c>
      <c r="O689" s="1"/>
    </row>
    <row r="690" spans="1:15" ht="15" customHeight="1">
      <c r="A690" t="s">
        <v>710</v>
      </c>
      <c r="B690" s="1" t="str">
        <f>LEFT(Table1[[#This Row],[Item]], FIND("-", Table1[[#This Row],[Item]]) - 1)</f>
        <v>GX05</v>
      </c>
      <c r="C690" s="1" t="str">
        <f>MID(LEFT(Table1[[#This Row],[Item]], FIND("{token}", SUBSTITUTE(Table1[[#This Row],[Item]], "-", "{token}", 2)) - 1), FIND("-", Table1[[#This Row],[Item]]) + 1, LEN(Table1[[#This Row],[Item]]))</f>
        <v>R</v>
      </c>
      <c r="D69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9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90" s="1" cm="1">
        <f t="array" ref="F690">VALUE(INDEX(_xlfn.TEXTSPLIT(Table1[[#This Row],[Item]], "-"), 5))</f>
        <v>1</v>
      </c>
      <c r="G690" s="1" cm="1">
        <f t="array" ref="G690">VALUE(INDEX(_xlfn.TEXTSPLIT(Table1[[#This Row],[Item]], "-"), 6))</f>
        <v>0</v>
      </c>
      <c r="H690" s="1" cm="1">
        <f t="array" ref="H690">VALUE(INDEX(_xlfn.TEXTSPLIT(Table1[[#This Row],[Item]], "-"), 7))</f>
        <v>0</v>
      </c>
      <c r="I69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90" s="1" t="str">
        <f>LEFT(RIGHT(Table1[[#This Row],[Item]],6),1)</f>
        <v>N</v>
      </c>
      <c r="K690" s="1" t="str">
        <f t="shared" si="12"/>
        <v>N</v>
      </c>
      <c r="L690" s="1" t="str">
        <f>RIGHT(Table1[[#This Row],[Item]],2)</f>
        <v>DG</v>
      </c>
      <c r="M690" s="1" t="s">
        <v>33</v>
      </c>
      <c r="N690" s="3" t="s">
        <v>710</v>
      </c>
      <c r="O690" s="1"/>
    </row>
    <row r="691" spans="1:15" ht="15" customHeight="1">
      <c r="A691" t="s">
        <v>711</v>
      </c>
      <c r="B691" s="1" t="str">
        <f>LEFT(Table1[[#This Row],[Item]], FIND("-", Table1[[#This Row],[Item]]) - 1)</f>
        <v>GX06</v>
      </c>
      <c r="C691" s="1" t="str">
        <f>MID(LEFT(Table1[[#This Row],[Item]], FIND("{token}", SUBSTITUTE(Table1[[#This Row],[Item]], "-", "{token}", 2)) - 1), FIND("-", Table1[[#This Row],[Item]]) + 1, LEN(Table1[[#This Row],[Item]]))</f>
        <v>R</v>
      </c>
      <c r="D69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69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91" s="1" cm="1">
        <f t="array" ref="F691">VALUE(INDEX(_xlfn.TEXTSPLIT(Table1[[#This Row],[Item]], "-"), 5))</f>
        <v>1</v>
      </c>
      <c r="G691" s="1" cm="1">
        <f t="array" ref="G691">VALUE(INDEX(_xlfn.TEXTSPLIT(Table1[[#This Row],[Item]], "-"), 6))</f>
        <v>0</v>
      </c>
      <c r="H691" s="1" cm="1">
        <f t="array" ref="H691">VALUE(INDEX(_xlfn.TEXTSPLIT(Table1[[#This Row],[Item]], "-"), 7))</f>
        <v>0</v>
      </c>
      <c r="I69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91" s="1" t="str">
        <f>LEFT(RIGHT(Table1[[#This Row],[Item]],6),1)</f>
        <v>N</v>
      </c>
      <c r="K691" s="1" t="str">
        <f t="shared" si="12"/>
        <v>N</v>
      </c>
      <c r="L691" s="1" t="str">
        <f>RIGHT(Table1[[#This Row],[Item]],2)</f>
        <v>DG</v>
      </c>
      <c r="M691" s="1" t="s">
        <v>33</v>
      </c>
      <c r="N691" s="3" t="s">
        <v>711</v>
      </c>
      <c r="O691" s="1"/>
    </row>
    <row r="692" spans="1:15" ht="15" customHeight="1">
      <c r="A692" t="s">
        <v>712</v>
      </c>
      <c r="B692" s="1" t="str">
        <f>LEFT(Table1[[#This Row],[Item]], FIND("-", Table1[[#This Row],[Item]]) - 1)</f>
        <v>GX06</v>
      </c>
      <c r="C692" s="1" t="str">
        <f>MID(LEFT(Table1[[#This Row],[Item]], FIND("{token}", SUBSTITUTE(Table1[[#This Row],[Item]], "-", "{token}", 2)) - 1), FIND("-", Table1[[#This Row],[Item]]) + 1, LEN(Table1[[#This Row],[Item]]))</f>
        <v>R</v>
      </c>
      <c r="D692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69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92" s="1" cm="1">
        <f t="array" ref="F692">VALUE(INDEX(_xlfn.TEXTSPLIT(Table1[[#This Row],[Item]], "-"), 5))</f>
        <v>1</v>
      </c>
      <c r="G692" s="1" cm="1">
        <f t="array" ref="G692">VALUE(INDEX(_xlfn.TEXTSPLIT(Table1[[#This Row],[Item]], "-"), 6))</f>
        <v>1</v>
      </c>
      <c r="H692" s="1" cm="1">
        <f t="array" ref="H692">VALUE(INDEX(_xlfn.TEXTSPLIT(Table1[[#This Row],[Item]], "-"), 7))</f>
        <v>0</v>
      </c>
      <c r="I69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92" s="1" t="str">
        <f>LEFT(RIGHT(Table1[[#This Row],[Item]],6),1)</f>
        <v>N</v>
      </c>
      <c r="K692" s="1" t="str">
        <f t="shared" si="12"/>
        <v>N</v>
      </c>
      <c r="L692" s="1" t="str">
        <f>RIGHT(Table1[[#This Row],[Item]],2)</f>
        <v>DG</v>
      </c>
      <c r="M692" s="1" t="s">
        <v>33</v>
      </c>
      <c r="N692" s="3" t="s">
        <v>711</v>
      </c>
      <c r="O692" s="1"/>
    </row>
    <row r="693" spans="1:15" ht="15" customHeight="1">
      <c r="A693" t="s">
        <v>713</v>
      </c>
      <c r="B693" s="1" t="str">
        <f>LEFT(Table1[[#This Row],[Item]], FIND("-", Table1[[#This Row],[Item]]) - 1)</f>
        <v>GX06</v>
      </c>
      <c r="C693" s="1" t="str">
        <f>MID(LEFT(Table1[[#This Row],[Item]], FIND("{token}", SUBSTITUTE(Table1[[#This Row],[Item]], "-", "{token}", 2)) - 1), FIND("-", Table1[[#This Row],[Item]]) + 1, LEN(Table1[[#This Row],[Item]]))</f>
        <v>R</v>
      </c>
      <c r="D69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9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93" s="1" cm="1">
        <f t="array" ref="F693">VALUE(INDEX(_xlfn.TEXTSPLIT(Table1[[#This Row],[Item]], "-"), 5))</f>
        <v>0</v>
      </c>
      <c r="G693" s="1" cm="1">
        <f t="array" ref="G693">VALUE(INDEX(_xlfn.TEXTSPLIT(Table1[[#This Row],[Item]], "-"), 6))</f>
        <v>0</v>
      </c>
      <c r="H693" s="1" cm="1">
        <f t="array" ref="H693">VALUE(INDEX(_xlfn.TEXTSPLIT(Table1[[#This Row],[Item]], "-"), 7))</f>
        <v>0</v>
      </c>
      <c r="I69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93" s="1" t="str">
        <f>LEFT(RIGHT(Table1[[#This Row],[Item]],6),1)</f>
        <v>N</v>
      </c>
      <c r="K693" s="1" t="str">
        <f t="shared" si="12"/>
        <v>N</v>
      </c>
      <c r="L693" s="1" t="str">
        <f>RIGHT(Table1[[#This Row],[Item]],2)</f>
        <v>DG</v>
      </c>
      <c r="M693" s="1" t="s">
        <v>33</v>
      </c>
      <c r="N693" s="3" t="s">
        <v>713</v>
      </c>
      <c r="O693" s="1"/>
    </row>
    <row r="694" spans="1:15" ht="15" customHeight="1">
      <c r="A694" t="s">
        <v>714</v>
      </c>
      <c r="B694" s="1" t="str">
        <f>LEFT(Table1[[#This Row],[Item]], FIND("-", Table1[[#This Row],[Item]]) - 1)</f>
        <v>GX06</v>
      </c>
      <c r="C694" s="1" t="str">
        <f>MID(LEFT(Table1[[#This Row],[Item]], FIND("{token}", SUBSTITUTE(Table1[[#This Row],[Item]], "-", "{token}", 2)) - 1), FIND("-", Table1[[#This Row],[Item]]) + 1, LEN(Table1[[#This Row],[Item]]))</f>
        <v>R</v>
      </c>
      <c r="D69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9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94" s="1" cm="1">
        <f t="array" ref="F694">VALUE(INDEX(_xlfn.TEXTSPLIT(Table1[[#This Row],[Item]], "-"), 5))</f>
        <v>1</v>
      </c>
      <c r="G694" s="1" cm="1">
        <f t="array" ref="G694">VALUE(INDEX(_xlfn.TEXTSPLIT(Table1[[#This Row],[Item]], "-"), 6))</f>
        <v>0</v>
      </c>
      <c r="H694" s="1" cm="1">
        <f t="array" ref="H694">VALUE(INDEX(_xlfn.TEXTSPLIT(Table1[[#This Row],[Item]], "-"), 7))</f>
        <v>0</v>
      </c>
      <c r="I69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94" s="1" t="str">
        <f>LEFT(RIGHT(Table1[[#This Row],[Item]],6),1)</f>
        <v>N</v>
      </c>
      <c r="K694" s="1" t="str">
        <f t="shared" si="12"/>
        <v>N</v>
      </c>
      <c r="L694" s="1" t="str">
        <f>RIGHT(Table1[[#This Row],[Item]],2)</f>
        <v>DG</v>
      </c>
      <c r="M694" s="1" t="s">
        <v>33</v>
      </c>
      <c r="N694" s="3" t="s">
        <v>714</v>
      </c>
      <c r="O694" s="1"/>
    </row>
    <row r="695" spans="1:15" ht="15" customHeight="1">
      <c r="A695" t="s">
        <v>715</v>
      </c>
      <c r="B695" s="1" t="str">
        <f>LEFT(Table1[[#This Row],[Item]], FIND("-", Table1[[#This Row],[Item]]) - 1)</f>
        <v>GX06</v>
      </c>
      <c r="C695" s="1" t="str">
        <f>MID(LEFT(Table1[[#This Row],[Item]], FIND("{token}", SUBSTITUTE(Table1[[#This Row],[Item]], "-", "{token}", 2)) - 1), FIND("-", Table1[[#This Row],[Item]]) + 1, LEN(Table1[[#This Row],[Item]]))</f>
        <v>R</v>
      </c>
      <c r="D69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9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95" s="1" cm="1">
        <f t="array" ref="F695">VALUE(INDEX(_xlfn.TEXTSPLIT(Table1[[#This Row],[Item]], "-"), 5))</f>
        <v>1</v>
      </c>
      <c r="G695" s="1" cm="1">
        <f t="array" ref="G695">VALUE(INDEX(_xlfn.TEXTSPLIT(Table1[[#This Row],[Item]], "-"), 6))</f>
        <v>1</v>
      </c>
      <c r="H695" s="1" cm="1">
        <f t="array" ref="H695">VALUE(INDEX(_xlfn.TEXTSPLIT(Table1[[#This Row],[Item]], "-"), 7))</f>
        <v>0</v>
      </c>
      <c r="I69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95" s="1" t="str">
        <f>LEFT(RIGHT(Table1[[#This Row],[Item]],6),1)</f>
        <v>N</v>
      </c>
      <c r="K695" s="1" t="str">
        <f t="shared" si="12"/>
        <v>N</v>
      </c>
      <c r="L695" s="1" t="str">
        <f>RIGHT(Table1[[#This Row],[Item]],2)</f>
        <v>DG</v>
      </c>
      <c r="M695" s="1" t="s">
        <v>33</v>
      </c>
      <c r="N695" s="3" t="s">
        <v>714</v>
      </c>
      <c r="O695" s="1"/>
    </row>
    <row r="696" spans="1:15" ht="15" customHeight="1">
      <c r="A696" t="s">
        <v>716</v>
      </c>
      <c r="B696" s="1" t="str">
        <f>LEFT(Table1[[#This Row],[Item]], FIND("-", Table1[[#This Row],[Item]]) - 1)</f>
        <v>GX06</v>
      </c>
      <c r="C696" s="1" t="str">
        <f>MID(LEFT(Table1[[#This Row],[Item]], FIND("{token}", SUBSTITUTE(Table1[[#This Row],[Item]], "-", "{token}", 2)) - 1), FIND("-", Table1[[#This Row],[Item]]) + 1, LEN(Table1[[#This Row],[Item]]))</f>
        <v>R</v>
      </c>
      <c r="D696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69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96" s="1" cm="1">
        <f t="array" ref="F696">VALUE(INDEX(_xlfn.TEXTSPLIT(Table1[[#This Row],[Item]], "-"), 5))</f>
        <v>1</v>
      </c>
      <c r="G696" s="1" cm="1">
        <f t="array" ref="G696">VALUE(INDEX(_xlfn.TEXTSPLIT(Table1[[#This Row],[Item]], "-"), 6))</f>
        <v>0</v>
      </c>
      <c r="H696" s="1" cm="1">
        <f t="array" ref="H696">VALUE(INDEX(_xlfn.TEXTSPLIT(Table1[[#This Row],[Item]], "-"), 7))</f>
        <v>0</v>
      </c>
      <c r="I69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96" s="1" t="str">
        <f>LEFT(RIGHT(Table1[[#This Row],[Item]],6),1)</f>
        <v>N</v>
      </c>
      <c r="K696" s="1" t="str">
        <f t="shared" si="12"/>
        <v>N</v>
      </c>
      <c r="L696" s="1" t="str">
        <f>RIGHT(Table1[[#This Row],[Item]],2)</f>
        <v>DG</v>
      </c>
      <c r="M696" s="1" t="s">
        <v>33</v>
      </c>
      <c r="N696" s="3" t="s">
        <v>716</v>
      </c>
      <c r="O696" s="1"/>
    </row>
    <row r="697" spans="1:15" ht="15" customHeight="1">
      <c r="A697" t="s">
        <v>717</v>
      </c>
      <c r="B697" s="1" t="str">
        <f>LEFT(Table1[[#This Row],[Item]], FIND("-", Table1[[#This Row],[Item]]) - 1)</f>
        <v>GX06</v>
      </c>
      <c r="C697" s="1" t="str">
        <f>MID(LEFT(Table1[[#This Row],[Item]], FIND("{token}", SUBSTITUTE(Table1[[#This Row],[Item]], "-", "{token}", 2)) - 1), FIND("-", Table1[[#This Row],[Item]]) + 1, LEN(Table1[[#This Row],[Item]]))</f>
        <v>RXL</v>
      </c>
      <c r="D69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69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97" s="1" cm="1">
        <f t="array" ref="F697">VALUE(INDEX(_xlfn.TEXTSPLIT(Table1[[#This Row],[Item]], "-"), 5))</f>
        <v>0</v>
      </c>
      <c r="G697" s="1" cm="1">
        <f t="array" ref="G697">VALUE(INDEX(_xlfn.TEXTSPLIT(Table1[[#This Row],[Item]], "-"), 6))</f>
        <v>1</v>
      </c>
      <c r="H697" s="1" cm="1">
        <f t="array" ref="H697">VALUE(INDEX(_xlfn.TEXTSPLIT(Table1[[#This Row],[Item]], "-"), 7))</f>
        <v>0</v>
      </c>
      <c r="I69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97" s="1" t="str">
        <f>LEFT(RIGHT(Table1[[#This Row],[Item]],6),1)</f>
        <v>N</v>
      </c>
      <c r="K697" s="1" t="str">
        <f t="shared" si="12"/>
        <v>N</v>
      </c>
      <c r="L697" s="1" t="str">
        <f>RIGHT(Table1[[#This Row],[Item]],2)</f>
        <v>DG</v>
      </c>
      <c r="M697" s="1" t="s">
        <v>33</v>
      </c>
      <c r="N697" s="3" t="s">
        <v>717</v>
      </c>
      <c r="O697" s="1"/>
    </row>
    <row r="698" spans="1:15" ht="15" customHeight="1">
      <c r="A698" t="s">
        <v>718</v>
      </c>
      <c r="B698" s="1" t="str">
        <f>LEFT(Table1[[#This Row],[Item]], FIND("-", Table1[[#This Row],[Item]]) - 1)</f>
        <v>GX06</v>
      </c>
      <c r="C698" s="1" t="str">
        <f>MID(LEFT(Table1[[#This Row],[Item]], FIND("{token}", SUBSTITUTE(Table1[[#This Row],[Item]], "-", "{token}", 2)) - 1), FIND("-", Table1[[#This Row],[Item]]) + 1, LEN(Table1[[#This Row],[Item]]))</f>
        <v>RXL</v>
      </c>
      <c r="D69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69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98" s="1" cm="1">
        <f t="array" ref="F698">VALUE(INDEX(_xlfn.TEXTSPLIT(Table1[[#This Row],[Item]], "-"), 5))</f>
        <v>1</v>
      </c>
      <c r="G698" s="1" cm="1">
        <f t="array" ref="G698">VALUE(INDEX(_xlfn.TEXTSPLIT(Table1[[#This Row],[Item]], "-"), 6))</f>
        <v>0</v>
      </c>
      <c r="H698" s="1" cm="1">
        <f t="array" ref="H698">VALUE(INDEX(_xlfn.TEXTSPLIT(Table1[[#This Row],[Item]], "-"), 7))</f>
        <v>0</v>
      </c>
      <c r="I69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98" s="1" t="str">
        <f>LEFT(RIGHT(Table1[[#This Row],[Item]],6),1)</f>
        <v>N</v>
      </c>
      <c r="K698" s="1" t="str">
        <f t="shared" si="12"/>
        <v>N</v>
      </c>
      <c r="L698" s="1" t="str">
        <f>RIGHT(Table1[[#This Row],[Item]],2)</f>
        <v>DG</v>
      </c>
      <c r="M698" s="1" t="s">
        <v>33</v>
      </c>
      <c r="N698" s="3" t="s">
        <v>718</v>
      </c>
      <c r="O698" s="1"/>
    </row>
    <row r="699" spans="1:15" ht="15" customHeight="1">
      <c r="A699" t="s">
        <v>719</v>
      </c>
      <c r="B699" s="1" t="str">
        <f>LEFT(Table1[[#This Row],[Item]], FIND("-", Table1[[#This Row],[Item]]) - 1)</f>
        <v>GX08</v>
      </c>
      <c r="C699" s="1" t="str">
        <f>MID(LEFT(Table1[[#This Row],[Item]], FIND("{token}", SUBSTITUTE(Table1[[#This Row],[Item]], "-", "{token}", 2)) - 1), FIND("-", Table1[[#This Row],[Item]]) + 1, LEN(Table1[[#This Row],[Item]]))</f>
        <v>C</v>
      </c>
      <c r="D699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69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699" s="1" cm="1">
        <f t="array" ref="F699">VALUE(INDEX(_xlfn.TEXTSPLIT(Table1[[#This Row],[Item]], "-"), 5))</f>
        <v>0</v>
      </c>
      <c r="G699" s="1" cm="1">
        <f t="array" ref="G699">VALUE(INDEX(_xlfn.TEXTSPLIT(Table1[[#This Row],[Item]], "-"), 6))</f>
        <v>1</v>
      </c>
      <c r="H699" s="1" cm="1">
        <f t="array" ref="H699">VALUE(INDEX(_xlfn.TEXTSPLIT(Table1[[#This Row],[Item]], "-"), 7))</f>
        <v>0</v>
      </c>
      <c r="I69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699" s="1" t="str">
        <f>LEFT(RIGHT(Table1[[#This Row],[Item]],6),1)</f>
        <v>N</v>
      </c>
      <c r="K699" s="1" t="str">
        <f t="shared" si="12"/>
        <v>N</v>
      </c>
      <c r="L699" s="1" t="str">
        <f>RIGHT(Table1[[#This Row],[Item]],2)</f>
        <v>DG</v>
      </c>
      <c r="M699" s="1" t="s">
        <v>33</v>
      </c>
      <c r="N699" s="3" t="s">
        <v>719</v>
      </c>
      <c r="O699" s="1"/>
    </row>
    <row r="700" spans="1:15" ht="15" customHeight="1">
      <c r="A700" t="s">
        <v>720</v>
      </c>
      <c r="B700" s="1" t="str">
        <f>LEFT(Table1[[#This Row],[Item]], FIND("-", Table1[[#This Row],[Item]]) - 1)</f>
        <v>GX08</v>
      </c>
      <c r="C700" s="1" t="str">
        <f>MID(LEFT(Table1[[#This Row],[Item]], FIND("{token}", SUBSTITUTE(Table1[[#This Row],[Item]], "-", "{token}", 2)) - 1), FIND("-", Table1[[#This Row],[Item]]) + 1, LEN(Table1[[#This Row],[Item]]))</f>
        <v>C</v>
      </c>
      <c r="D700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70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00" s="1" cm="1">
        <f t="array" ref="F700">VALUE(INDEX(_xlfn.TEXTSPLIT(Table1[[#This Row],[Item]], "-"), 5))</f>
        <v>1</v>
      </c>
      <c r="G700" s="1" cm="1">
        <f t="array" ref="G700">VALUE(INDEX(_xlfn.TEXTSPLIT(Table1[[#This Row],[Item]], "-"), 6))</f>
        <v>1</v>
      </c>
      <c r="H700" s="1" cm="1">
        <f t="array" ref="H700">VALUE(INDEX(_xlfn.TEXTSPLIT(Table1[[#This Row],[Item]], "-"), 7))</f>
        <v>0</v>
      </c>
      <c r="I70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00" s="1" t="str">
        <f>LEFT(RIGHT(Table1[[#This Row],[Item]],6),1)</f>
        <v>N</v>
      </c>
      <c r="K700" s="1" t="str">
        <f t="shared" si="12"/>
        <v>N</v>
      </c>
      <c r="L700" s="1" t="str">
        <f>RIGHT(Table1[[#This Row],[Item]],2)</f>
        <v>DG</v>
      </c>
      <c r="M700" s="1" t="s">
        <v>33</v>
      </c>
      <c r="N700" s="3" t="s">
        <v>721</v>
      </c>
      <c r="O700" s="1"/>
    </row>
    <row r="701" spans="1:15" ht="15" customHeight="1">
      <c r="A701" t="s">
        <v>722</v>
      </c>
      <c r="B701" s="1" t="str">
        <f>LEFT(Table1[[#This Row],[Item]], FIND("-", Table1[[#This Row],[Item]]) - 1)</f>
        <v>GX08</v>
      </c>
      <c r="C701" s="1" t="str">
        <f>MID(LEFT(Table1[[#This Row],[Item]], FIND("{token}", SUBSTITUTE(Table1[[#This Row],[Item]], "-", "{token}", 2)) - 1), FIND("-", Table1[[#This Row],[Item]]) + 1, LEN(Table1[[#This Row],[Item]]))</f>
        <v>C</v>
      </c>
      <c r="D70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0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701" s="1" cm="1">
        <f t="array" ref="F701">VALUE(INDEX(_xlfn.TEXTSPLIT(Table1[[#This Row],[Item]], "-"), 5))</f>
        <v>1</v>
      </c>
      <c r="G701" s="1" cm="1">
        <f t="array" ref="G701">VALUE(INDEX(_xlfn.TEXTSPLIT(Table1[[#This Row],[Item]], "-"), 6))</f>
        <v>0</v>
      </c>
      <c r="H701" s="1" cm="1">
        <f t="array" ref="H701">VALUE(INDEX(_xlfn.TEXTSPLIT(Table1[[#This Row],[Item]], "-"), 7))</f>
        <v>1</v>
      </c>
      <c r="I70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01" s="1" t="str">
        <f>LEFT(RIGHT(Table1[[#This Row],[Item]],6),1)</f>
        <v>N</v>
      </c>
      <c r="K701" s="1" t="str">
        <f t="shared" si="12"/>
        <v>N</v>
      </c>
      <c r="L701" s="1" t="str">
        <f>RIGHT(Table1[[#This Row],[Item]],2)</f>
        <v>DG</v>
      </c>
      <c r="M701" s="1" t="s">
        <v>33</v>
      </c>
      <c r="N701" s="3" t="s">
        <v>722</v>
      </c>
      <c r="O701" s="1"/>
    </row>
    <row r="702" spans="1:15" ht="15" customHeight="1">
      <c r="A702" t="s">
        <v>723</v>
      </c>
      <c r="B702" s="1" t="str">
        <f>LEFT(Table1[[#This Row],[Item]], FIND("-", Table1[[#This Row],[Item]]) - 1)</f>
        <v>GX08</v>
      </c>
      <c r="C702" s="1" t="str">
        <f>MID(LEFT(Table1[[#This Row],[Item]], FIND("{token}", SUBSTITUTE(Table1[[#This Row],[Item]], "-", "{token}", 2)) - 1), FIND("-", Table1[[#This Row],[Item]]) + 1, LEN(Table1[[#This Row],[Item]]))</f>
        <v>C</v>
      </c>
      <c r="D70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0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02" s="1" cm="1">
        <f t="array" ref="F702">VALUE(INDEX(_xlfn.TEXTSPLIT(Table1[[#This Row],[Item]], "-"), 5))</f>
        <v>0</v>
      </c>
      <c r="G702" s="1" cm="1">
        <f t="array" ref="G702">VALUE(INDEX(_xlfn.TEXTSPLIT(Table1[[#This Row],[Item]], "-"), 6))</f>
        <v>0</v>
      </c>
      <c r="H702" s="1" cm="1">
        <f t="array" ref="H702">VALUE(INDEX(_xlfn.TEXTSPLIT(Table1[[#This Row],[Item]], "-"), 7))</f>
        <v>0</v>
      </c>
      <c r="I70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02" s="1" t="str">
        <f>LEFT(RIGHT(Table1[[#This Row],[Item]],6),1)</f>
        <v>N</v>
      </c>
      <c r="K702" s="1" t="str">
        <f t="shared" si="12"/>
        <v>N</v>
      </c>
      <c r="L702" s="1" t="str">
        <f>RIGHT(Table1[[#This Row],[Item]],2)</f>
        <v>DG</v>
      </c>
      <c r="M702" s="1" t="s">
        <v>33</v>
      </c>
      <c r="N702" s="3" t="s">
        <v>723</v>
      </c>
      <c r="O702" s="1"/>
    </row>
    <row r="703" spans="1:15" ht="15" customHeight="1">
      <c r="A703" t="s">
        <v>724</v>
      </c>
      <c r="B703" s="1" t="str">
        <f>LEFT(Table1[[#This Row],[Item]], FIND("-", Table1[[#This Row],[Item]]) - 1)</f>
        <v>GX08</v>
      </c>
      <c r="C703" s="1" t="str">
        <f>MID(LEFT(Table1[[#This Row],[Item]], FIND("{token}", SUBSTITUTE(Table1[[#This Row],[Item]], "-", "{token}", 2)) - 1), FIND("-", Table1[[#This Row],[Item]]) + 1, LEN(Table1[[#This Row],[Item]]))</f>
        <v>C</v>
      </c>
      <c r="D70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0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03" s="1" cm="1">
        <f t="array" ref="F703">VALUE(INDEX(_xlfn.TEXTSPLIT(Table1[[#This Row],[Item]], "-"), 5))</f>
        <v>1</v>
      </c>
      <c r="G703" s="1" cm="1">
        <f t="array" ref="G703">VALUE(INDEX(_xlfn.TEXTSPLIT(Table1[[#This Row],[Item]], "-"), 6))</f>
        <v>0</v>
      </c>
      <c r="H703" s="1" cm="1">
        <f t="array" ref="H703">VALUE(INDEX(_xlfn.TEXTSPLIT(Table1[[#This Row],[Item]], "-"), 7))</f>
        <v>0</v>
      </c>
      <c r="I70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03" s="1" t="str">
        <f>LEFT(RIGHT(Table1[[#This Row],[Item]],6),1)</f>
        <v>N</v>
      </c>
      <c r="K703" s="1" t="str">
        <f t="shared" si="12"/>
        <v>N</v>
      </c>
      <c r="L703" s="1" t="str">
        <f>RIGHT(Table1[[#This Row],[Item]],2)</f>
        <v>DG</v>
      </c>
      <c r="M703" s="1" t="s">
        <v>33</v>
      </c>
      <c r="N703" s="3" t="s">
        <v>721</v>
      </c>
      <c r="O703" s="1"/>
    </row>
    <row r="704" spans="1:15" ht="15" customHeight="1">
      <c r="A704" t="s">
        <v>721</v>
      </c>
      <c r="B704" s="1" t="str">
        <f>LEFT(Table1[[#This Row],[Item]], FIND("-", Table1[[#This Row],[Item]]) - 1)</f>
        <v>GX08</v>
      </c>
      <c r="C704" s="1" t="str">
        <f>MID(LEFT(Table1[[#This Row],[Item]], FIND("{token}", SUBSTITUTE(Table1[[#This Row],[Item]], "-", "{token}", 2)) - 1), FIND("-", Table1[[#This Row],[Item]]) + 1, LEN(Table1[[#This Row],[Item]]))</f>
        <v>C</v>
      </c>
      <c r="D70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0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04" s="1" cm="1">
        <f t="array" ref="F704">VALUE(INDEX(_xlfn.TEXTSPLIT(Table1[[#This Row],[Item]], "-"), 5))</f>
        <v>1</v>
      </c>
      <c r="G704" s="1" cm="1">
        <f t="array" ref="G704">VALUE(INDEX(_xlfn.TEXTSPLIT(Table1[[#This Row],[Item]], "-"), 6))</f>
        <v>1</v>
      </c>
      <c r="H704" s="1" cm="1">
        <f t="array" ref="H704">VALUE(INDEX(_xlfn.TEXTSPLIT(Table1[[#This Row],[Item]], "-"), 7))</f>
        <v>0</v>
      </c>
      <c r="I70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04" s="1" t="str">
        <f>LEFT(RIGHT(Table1[[#This Row],[Item]],6),1)</f>
        <v>N</v>
      </c>
      <c r="K704" s="1" t="str">
        <f t="shared" si="12"/>
        <v>N</v>
      </c>
      <c r="L704" s="1" t="str">
        <f>RIGHT(Table1[[#This Row],[Item]],2)</f>
        <v>DG</v>
      </c>
      <c r="M704" s="1" t="s">
        <v>33</v>
      </c>
      <c r="N704" s="3" t="s">
        <v>721</v>
      </c>
      <c r="O704" s="1"/>
    </row>
    <row r="705" spans="1:15" ht="15" customHeight="1">
      <c r="A705" t="s">
        <v>725</v>
      </c>
      <c r="B705" s="1" t="str">
        <f>LEFT(Table1[[#This Row],[Item]], FIND("-", Table1[[#This Row],[Item]]) - 1)</f>
        <v>GX08</v>
      </c>
      <c r="C705" s="1" t="str">
        <f>MID(LEFT(Table1[[#This Row],[Item]], FIND("{token}", SUBSTITUTE(Table1[[#This Row],[Item]], "-", "{token}", 2)) - 1), FIND("-", Table1[[#This Row],[Item]]) + 1, LEN(Table1[[#This Row],[Item]]))</f>
        <v>C</v>
      </c>
      <c r="D70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0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05" s="1" cm="1">
        <f t="array" ref="F705">VALUE(INDEX(_xlfn.TEXTSPLIT(Table1[[#This Row],[Item]], "-"), 5))</f>
        <v>1</v>
      </c>
      <c r="G705" s="1" cm="1">
        <f t="array" ref="G705">VALUE(INDEX(_xlfn.TEXTSPLIT(Table1[[#This Row],[Item]], "-"), 6))</f>
        <v>1</v>
      </c>
      <c r="H705" s="1" cm="1">
        <f t="array" ref="H705">VALUE(INDEX(_xlfn.TEXTSPLIT(Table1[[#This Row],[Item]], "-"), 7))</f>
        <v>1</v>
      </c>
      <c r="I70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05" s="1" t="str">
        <f>LEFT(RIGHT(Table1[[#This Row],[Item]],6),1)</f>
        <v>N</v>
      </c>
      <c r="K705" s="1" t="str">
        <f t="shared" si="12"/>
        <v>N</v>
      </c>
      <c r="L705" s="1" t="str">
        <f>RIGHT(Table1[[#This Row],[Item]],2)</f>
        <v>DG</v>
      </c>
      <c r="M705" s="1" t="s">
        <v>33</v>
      </c>
      <c r="N705" s="3" t="s">
        <v>725</v>
      </c>
      <c r="O705" s="1"/>
    </row>
    <row r="706" spans="1:15" ht="15" customHeight="1">
      <c r="A706" t="s">
        <v>726</v>
      </c>
      <c r="B706" s="1" t="str">
        <f>LEFT(Table1[[#This Row],[Item]], FIND("-", Table1[[#This Row],[Item]]) - 1)</f>
        <v>GX08</v>
      </c>
      <c r="C706" s="1" t="str">
        <f>MID(LEFT(Table1[[#This Row],[Item]], FIND("{token}", SUBSTITUTE(Table1[[#This Row],[Item]], "-", "{token}", 2)) - 1), FIND("-", Table1[[#This Row],[Item]]) + 1, LEN(Table1[[#This Row],[Item]]))</f>
        <v>CXL</v>
      </c>
      <c r="D70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0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06" s="1" cm="1">
        <f t="array" ref="F706">VALUE(INDEX(_xlfn.TEXTSPLIT(Table1[[#This Row],[Item]], "-"), 5))</f>
        <v>1</v>
      </c>
      <c r="G706" s="1" cm="1">
        <f t="array" ref="G706">VALUE(INDEX(_xlfn.TEXTSPLIT(Table1[[#This Row],[Item]], "-"), 6))</f>
        <v>1</v>
      </c>
      <c r="H706" s="1" cm="1">
        <f t="array" ref="H706">VALUE(INDEX(_xlfn.TEXTSPLIT(Table1[[#This Row],[Item]], "-"), 7))</f>
        <v>0</v>
      </c>
      <c r="I70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06" s="1" t="str">
        <f>LEFT(RIGHT(Table1[[#This Row],[Item]],6),1)</f>
        <v>N</v>
      </c>
      <c r="K706" s="1" t="str">
        <f t="shared" si="12"/>
        <v>N</v>
      </c>
      <c r="L706" s="1" t="str">
        <f>RIGHT(Table1[[#This Row],[Item]],2)</f>
        <v>DG</v>
      </c>
      <c r="M706" s="1" t="s">
        <v>33</v>
      </c>
      <c r="N706" s="3" t="s">
        <v>726</v>
      </c>
      <c r="O706" s="1"/>
    </row>
    <row r="707" spans="1:15" ht="15" customHeight="1">
      <c r="A707" t="s">
        <v>727</v>
      </c>
      <c r="B707" s="1" t="str">
        <f>LEFT(Table1[[#This Row],[Item]], FIND("-", Table1[[#This Row],[Item]]) - 1)</f>
        <v>GX08</v>
      </c>
      <c r="C707" s="1" t="str">
        <f>MID(LEFT(Table1[[#This Row],[Item]], FIND("{token}", SUBSTITUTE(Table1[[#This Row],[Item]], "-", "{token}", 2)) - 1), FIND("-", Table1[[#This Row],[Item]]) + 1, LEN(Table1[[#This Row],[Item]]))</f>
        <v>L</v>
      </c>
      <c r="D70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0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07" s="1" cm="1">
        <f t="array" ref="F707">VALUE(INDEX(_xlfn.TEXTSPLIT(Table1[[#This Row],[Item]], "-"), 5))</f>
        <v>1</v>
      </c>
      <c r="G707" s="1" cm="1">
        <f t="array" ref="G707">VALUE(INDEX(_xlfn.TEXTSPLIT(Table1[[#This Row],[Item]], "-"), 6))</f>
        <v>2</v>
      </c>
      <c r="H707" s="1" cm="1">
        <f t="array" ref="H707">VALUE(INDEX(_xlfn.TEXTSPLIT(Table1[[#This Row],[Item]], "-"), 7))</f>
        <v>0</v>
      </c>
      <c r="I70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07" s="1" t="str">
        <f>LEFT(RIGHT(Table1[[#This Row],[Item]],6),1)</f>
        <v>N</v>
      </c>
      <c r="K707" s="1" t="str">
        <f t="shared" si="12"/>
        <v>N</v>
      </c>
      <c r="L707" s="1" t="str">
        <f>RIGHT(Table1[[#This Row],[Item]],2)</f>
        <v>DG</v>
      </c>
      <c r="M707" s="1" t="s">
        <v>33</v>
      </c>
      <c r="N707" s="3" t="s">
        <v>727</v>
      </c>
      <c r="O707" s="1"/>
    </row>
    <row r="708" spans="1:15" ht="15" customHeight="1">
      <c r="A708" t="s">
        <v>728</v>
      </c>
      <c r="B708" s="1" t="str">
        <f>LEFT(Table1[[#This Row],[Item]], FIND("-", Table1[[#This Row],[Item]]) - 1)</f>
        <v>GX08</v>
      </c>
      <c r="C708" s="1" t="str">
        <f>MID(LEFT(Table1[[#This Row],[Item]], FIND("{token}", SUBSTITUTE(Table1[[#This Row],[Item]], "-", "{token}", 2)) - 1), FIND("-", Table1[[#This Row],[Item]]) + 1, LEN(Table1[[#This Row],[Item]]))</f>
        <v>R</v>
      </c>
      <c r="D70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0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708" s="1" cm="1">
        <f t="array" ref="F708">VALUE(INDEX(_xlfn.TEXTSPLIT(Table1[[#This Row],[Item]], "-"), 5))</f>
        <v>1</v>
      </c>
      <c r="G708" s="1" cm="1">
        <f t="array" ref="G708">VALUE(INDEX(_xlfn.TEXTSPLIT(Table1[[#This Row],[Item]], "-"), 6))</f>
        <v>0</v>
      </c>
      <c r="H708" s="1" cm="1">
        <f t="array" ref="H708">VALUE(INDEX(_xlfn.TEXTSPLIT(Table1[[#This Row],[Item]], "-"), 7))</f>
        <v>1</v>
      </c>
      <c r="I70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08" s="1" t="str">
        <f>LEFT(RIGHT(Table1[[#This Row],[Item]],6),1)</f>
        <v>N</v>
      </c>
      <c r="K708" s="1" t="str">
        <f t="shared" si="12"/>
        <v>N</v>
      </c>
      <c r="L708" s="1" t="str">
        <f>RIGHT(Table1[[#This Row],[Item]],2)</f>
        <v>DG</v>
      </c>
      <c r="M708" s="1" t="s">
        <v>33</v>
      </c>
      <c r="N708" s="3" t="s">
        <v>728</v>
      </c>
      <c r="O708" s="1"/>
    </row>
    <row r="709" spans="1:15" ht="15" customHeight="1">
      <c r="A709" t="s">
        <v>729</v>
      </c>
      <c r="B709" s="1" t="str">
        <f>LEFT(Table1[[#This Row],[Item]], FIND("-", Table1[[#This Row],[Item]]) - 1)</f>
        <v>GX08</v>
      </c>
      <c r="C709" s="1" t="str">
        <f>MID(LEFT(Table1[[#This Row],[Item]], FIND("{token}", SUBSTITUTE(Table1[[#This Row],[Item]], "-", "{token}", 2)) - 1), FIND("-", Table1[[#This Row],[Item]]) + 1, LEN(Table1[[#This Row],[Item]]))</f>
        <v>R</v>
      </c>
      <c r="D70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0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709" s="1" cm="1">
        <f t="array" ref="F709">VALUE(INDEX(_xlfn.TEXTSPLIT(Table1[[#This Row],[Item]], "-"), 5))</f>
        <v>1</v>
      </c>
      <c r="G709" s="1" cm="1">
        <f t="array" ref="G709">VALUE(INDEX(_xlfn.TEXTSPLIT(Table1[[#This Row],[Item]], "-"), 6))</f>
        <v>1</v>
      </c>
      <c r="H709" s="1" cm="1">
        <f t="array" ref="H709">VALUE(INDEX(_xlfn.TEXTSPLIT(Table1[[#This Row],[Item]], "-"), 7))</f>
        <v>1</v>
      </c>
      <c r="I70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09" s="1" t="str">
        <f>LEFT(RIGHT(Table1[[#This Row],[Item]],6),1)</f>
        <v>N</v>
      </c>
      <c r="K709" s="1" t="str">
        <f t="shared" si="12"/>
        <v>N</v>
      </c>
      <c r="L709" s="1" t="str">
        <f>RIGHT(Table1[[#This Row],[Item]],2)</f>
        <v>DG</v>
      </c>
      <c r="M709" s="1" t="s">
        <v>33</v>
      </c>
      <c r="N709" s="3" t="s">
        <v>729</v>
      </c>
      <c r="O709" s="1"/>
    </row>
    <row r="710" spans="1:15" ht="15" customHeight="1">
      <c r="A710" t="s">
        <v>730</v>
      </c>
      <c r="B710" s="1" t="str">
        <f>LEFT(Table1[[#This Row],[Item]], FIND("-", Table1[[#This Row],[Item]]) - 1)</f>
        <v>GX08</v>
      </c>
      <c r="C710" s="1" t="str">
        <f>MID(LEFT(Table1[[#This Row],[Item]], FIND("{token}", SUBSTITUTE(Table1[[#This Row],[Item]], "-", "{token}", 2)) - 1), FIND("-", Table1[[#This Row],[Item]]) + 1, LEN(Table1[[#This Row],[Item]]))</f>
        <v>R</v>
      </c>
      <c r="D71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1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10" s="1" cm="1">
        <f t="array" ref="F710">VALUE(INDEX(_xlfn.TEXTSPLIT(Table1[[#This Row],[Item]], "-"), 5))</f>
        <v>0</v>
      </c>
      <c r="G710" s="1" cm="1">
        <f t="array" ref="G710">VALUE(INDEX(_xlfn.TEXTSPLIT(Table1[[#This Row],[Item]], "-"), 6))</f>
        <v>0</v>
      </c>
      <c r="H710" s="1" cm="1">
        <f t="array" ref="H710">VALUE(INDEX(_xlfn.TEXTSPLIT(Table1[[#This Row],[Item]], "-"), 7))</f>
        <v>0</v>
      </c>
      <c r="I71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10" s="1" t="str">
        <f>LEFT(RIGHT(Table1[[#This Row],[Item]],6),1)</f>
        <v>N</v>
      </c>
      <c r="K710" s="1" t="str">
        <f t="shared" si="12"/>
        <v>N</v>
      </c>
      <c r="L710" s="1" t="str">
        <f>RIGHT(Table1[[#This Row],[Item]],2)</f>
        <v>DG</v>
      </c>
      <c r="M710" s="1" t="s">
        <v>33</v>
      </c>
      <c r="N710" s="3" t="s">
        <v>730</v>
      </c>
      <c r="O710" s="1"/>
    </row>
    <row r="711" spans="1:15" ht="15" customHeight="1">
      <c r="A711" t="s">
        <v>731</v>
      </c>
      <c r="B711" s="1" t="str">
        <f>LEFT(Table1[[#This Row],[Item]], FIND("-", Table1[[#This Row],[Item]]) - 1)</f>
        <v>GX08</v>
      </c>
      <c r="C711" s="1" t="str">
        <f>MID(LEFT(Table1[[#This Row],[Item]], FIND("{token}", SUBSTITUTE(Table1[[#This Row],[Item]], "-", "{token}", 2)) - 1), FIND("-", Table1[[#This Row],[Item]]) + 1, LEN(Table1[[#This Row],[Item]]))</f>
        <v>R</v>
      </c>
      <c r="D71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1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11" s="1" cm="1">
        <f t="array" ref="F711">VALUE(INDEX(_xlfn.TEXTSPLIT(Table1[[#This Row],[Item]], "-"), 5))</f>
        <v>0</v>
      </c>
      <c r="G711" s="1" cm="1">
        <f t="array" ref="G711">VALUE(INDEX(_xlfn.TEXTSPLIT(Table1[[#This Row],[Item]], "-"), 6))</f>
        <v>1</v>
      </c>
      <c r="H711" s="1" cm="1">
        <f t="array" ref="H711">VALUE(INDEX(_xlfn.TEXTSPLIT(Table1[[#This Row],[Item]], "-"), 7))</f>
        <v>0</v>
      </c>
      <c r="I71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11" s="1" t="str">
        <f>LEFT(RIGHT(Table1[[#This Row],[Item]],6),1)</f>
        <v>N</v>
      </c>
      <c r="K711" s="1" t="str">
        <f t="shared" si="12"/>
        <v>N</v>
      </c>
      <c r="L711" s="1" t="str">
        <f>RIGHT(Table1[[#This Row],[Item]],2)</f>
        <v>DG</v>
      </c>
      <c r="M711" s="1" t="s">
        <v>33</v>
      </c>
      <c r="N711" s="3" t="s">
        <v>731</v>
      </c>
      <c r="O711" s="1"/>
    </row>
    <row r="712" spans="1:15" ht="15" customHeight="1">
      <c r="A712" t="s">
        <v>732</v>
      </c>
      <c r="B712" s="1" t="str">
        <f>LEFT(Table1[[#This Row],[Item]], FIND("-", Table1[[#This Row],[Item]]) - 1)</f>
        <v>GX08</v>
      </c>
      <c r="C712" s="1" t="str">
        <f>MID(LEFT(Table1[[#This Row],[Item]], FIND("{token}", SUBSTITUTE(Table1[[#This Row],[Item]], "-", "{token}", 2)) - 1), FIND("-", Table1[[#This Row],[Item]]) + 1, LEN(Table1[[#This Row],[Item]]))</f>
        <v>R</v>
      </c>
      <c r="D712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1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12" s="1" cm="1">
        <f t="array" ref="F712">VALUE(INDEX(_xlfn.TEXTSPLIT(Table1[[#This Row],[Item]], "-"), 5))</f>
        <v>0</v>
      </c>
      <c r="G712" s="1" cm="1">
        <f t="array" ref="G712">VALUE(INDEX(_xlfn.TEXTSPLIT(Table1[[#This Row],[Item]], "-"), 6))</f>
        <v>2</v>
      </c>
      <c r="H712" s="1" cm="1">
        <f t="array" ref="H712">VALUE(INDEX(_xlfn.TEXTSPLIT(Table1[[#This Row],[Item]], "-"), 7))</f>
        <v>0</v>
      </c>
      <c r="I71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12" s="1" t="str">
        <f>LEFT(RIGHT(Table1[[#This Row],[Item]],6),1)</f>
        <v>N</v>
      </c>
      <c r="K712" s="1" t="str">
        <f t="shared" si="12"/>
        <v>N</v>
      </c>
      <c r="L712" s="1" t="str">
        <f>RIGHT(Table1[[#This Row],[Item]],2)</f>
        <v>DG</v>
      </c>
      <c r="M712" s="1" t="s">
        <v>33</v>
      </c>
      <c r="N712" s="3" t="s">
        <v>732</v>
      </c>
      <c r="O712" s="1"/>
    </row>
    <row r="713" spans="1:15" ht="15" customHeight="1">
      <c r="A713" t="s">
        <v>733</v>
      </c>
      <c r="B713" s="1" t="str">
        <f>LEFT(Table1[[#This Row],[Item]], FIND("-", Table1[[#This Row],[Item]]) - 1)</f>
        <v>GX08</v>
      </c>
      <c r="C713" s="1" t="str">
        <f>MID(LEFT(Table1[[#This Row],[Item]], FIND("{token}", SUBSTITUTE(Table1[[#This Row],[Item]], "-", "{token}", 2)) - 1), FIND("-", Table1[[#This Row],[Item]]) + 1, LEN(Table1[[#This Row],[Item]]))</f>
        <v>R</v>
      </c>
      <c r="D71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1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13" s="1" cm="1">
        <f t="array" ref="F713">VALUE(INDEX(_xlfn.TEXTSPLIT(Table1[[#This Row],[Item]], "-"), 5))</f>
        <v>1</v>
      </c>
      <c r="G713" s="1" cm="1">
        <f t="array" ref="G713">VALUE(INDEX(_xlfn.TEXTSPLIT(Table1[[#This Row],[Item]], "-"), 6))</f>
        <v>1</v>
      </c>
      <c r="H713" s="1" cm="1">
        <f t="array" ref="H713">VALUE(INDEX(_xlfn.TEXTSPLIT(Table1[[#This Row],[Item]], "-"), 7))</f>
        <v>0</v>
      </c>
      <c r="I71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13" s="1" t="str">
        <f>LEFT(RIGHT(Table1[[#This Row],[Item]],6),1)</f>
        <v>N</v>
      </c>
      <c r="K713" s="1" t="str">
        <f t="shared" si="12"/>
        <v>N</v>
      </c>
      <c r="L713" s="1" t="str">
        <f>RIGHT(Table1[[#This Row],[Item]],2)</f>
        <v>DG</v>
      </c>
      <c r="M713" s="1" t="s">
        <v>33</v>
      </c>
      <c r="N713" s="3" t="s">
        <v>733</v>
      </c>
      <c r="O713" s="1"/>
    </row>
    <row r="714" spans="1:15" ht="15" customHeight="1">
      <c r="A714" t="s">
        <v>734</v>
      </c>
      <c r="B714" s="1" t="str">
        <f>LEFT(Table1[[#This Row],[Item]], FIND("-", Table1[[#This Row],[Item]]) - 1)</f>
        <v>GX08</v>
      </c>
      <c r="C714" s="1" t="str">
        <f>MID(LEFT(Table1[[#This Row],[Item]], FIND("{token}", SUBSTITUTE(Table1[[#This Row],[Item]], "-", "{token}", 2)) - 1), FIND("-", Table1[[#This Row],[Item]]) + 1, LEN(Table1[[#This Row],[Item]]))</f>
        <v>R</v>
      </c>
      <c r="D714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71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14" s="1" cm="1">
        <f t="array" ref="F714">VALUE(INDEX(_xlfn.TEXTSPLIT(Table1[[#This Row],[Item]], "-"), 5))</f>
        <v>1</v>
      </c>
      <c r="G714" s="1" cm="1">
        <f t="array" ref="G714">VALUE(INDEX(_xlfn.TEXTSPLIT(Table1[[#This Row],[Item]], "-"), 6))</f>
        <v>1</v>
      </c>
      <c r="H714" s="1" cm="1">
        <f t="array" ref="H714">VALUE(INDEX(_xlfn.TEXTSPLIT(Table1[[#This Row],[Item]], "-"), 7))</f>
        <v>0</v>
      </c>
      <c r="I71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14" s="1" t="str">
        <f>LEFT(RIGHT(Table1[[#This Row],[Item]],6),1)</f>
        <v>N</v>
      </c>
      <c r="K714" s="1" t="str">
        <f t="shared" si="12"/>
        <v>N</v>
      </c>
      <c r="L714" s="1" t="str">
        <f>RIGHT(Table1[[#This Row],[Item]],2)</f>
        <v>DG</v>
      </c>
      <c r="M714" s="1" t="s">
        <v>33</v>
      </c>
      <c r="N714" s="3" t="s">
        <v>734</v>
      </c>
      <c r="O714" s="1"/>
    </row>
    <row r="715" spans="1:15" ht="15" customHeight="1">
      <c r="A715" t="s">
        <v>735</v>
      </c>
      <c r="B715" s="1" t="str">
        <f>LEFT(Table1[[#This Row],[Item]], FIND("-", Table1[[#This Row],[Item]]) - 1)</f>
        <v>GX08</v>
      </c>
      <c r="C715" s="1" t="str">
        <f>MID(LEFT(Table1[[#This Row],[Item]], FIND("{token}", SUBSTITUTE(Table1[[#This Row],[Item]], "-", "{token}", 2)) - 1), FIND("-", Table1[[#This Row],[Item]]) + 1, LEN(Table1[[#This Row],[Item]]))</f>
        <v>R</v>
      </c>
      <c r="D71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1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15" s="1" cm="1">
        <f t="array" ref="F715">VALUE(INDEX(_xlfn.TEXTSPLIT(Table1[[#This Row],[Item]], "-"), 5))</f>
        <v>0</v>
      </c>
      <c r="G715" s="1" cm="1">
        <f t="array" ref="G715">VALUE(INDEX(_xlfn.TEXTSPLIT(Table1[[#This Row],[Item]], "-"), 6))</f>
        <v>0</v>
      </c>
      <c r="H715" s="1" cm="1">
        <f t="array" ref="H715">VALUE(INDEX(_xlfn.TEXTSPLIT(Table1[[#This Row],[Item]], "-"), 7))</f>
        <v>0</v>
      </c>
      <c r="I71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15" s="1" t="str">
        <f>LEFT(RIGHT(Table1[[#This Row],[Item]],6),1)</f>
        <v>N</v>
      </c>
      <c r="K715" s="1" t="str">
        <f t="shared" si="12"/>
        <v>N</v>
      </c>
      <c r="L715" s="1" t="str">
        <f>RIGHT(Table1[[#This Row],[Item]],2)</f>
        <v>DG</v>
      </c>
      <c r="M715" s="1" t="s">
        <v>33</v>
      </c>
      <c r="N715" s="3" t="s">
        <v>735</v>
      </c>
      <c r="O715" s="1"/>
    </row>
    <row r="716" spans="1:15" ht="15" customHeight="1">
      <c r="A716" t="s">
        <v>736</v>
      </c>
      <c r="B716" s="1" t="str">
        <f>LEFT(Table1[[#This Row],[Item]], FIND("-", Table1[[#This Row],[Item]]) - 1)</f>
        <v>GX08</v>
      </c>
      <c r="C716" s="1" t="str">
        <f>MID(LEFT(Table1[[#This Row],[Item]], FIND("{token}", SUBSTITUTE(Table1[[#This Row],[Item]], "-", "{token}", 2)) - 1), FIND("-", Table1[[#This Row],[Item]]) + 1, LEN(Table1[[#This Row],[Item]]))</f>
        <v>R</v>
      </c>
      <c r="D71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1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16" s="1" cm="1">
        <f t="array" ref="F716">VALUE(INDEX(_xlfn.TEXTSPLIT(Table1[[#This Row],[Item]], "-"), 5))</f>
        <v>1</v>
      </c>
      <c r="G716" s="1" cm="1">
        <f t="array" ref="G716">VALUE(INDEX(_xlfn.TEXTSPLIT(Table1[[#This Row],[Item]], "-"), 6))</f>
        <v>0</v>
      </c>
      <c r="H716" s="1" cm="1">
        <f t="array" ref="H716">VALUE(INDEX(_xlfn.TEXTSPLIT(Table1[[#This Row],[Item]], "-"), 7))</f>
        <v>0</v>
      </c>
      <c r="I71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16" s="1" t="str">
        <f>LEFT(RIGHT(Table1[[#This Row],[Item]],6),1)</f>
        <v>N</v>
      </c>
      <c r="K716" s="1" t="str">
        <f t="shared" si="12"/>
        <v>N</v>
      </c>
      <c r="L716" s="1" t="str">
        <f>RIGHT(Table1[[#This Row],[Item]],2)</f>
        <v>DG</v>
      </c>
      <c r="M716" s="1" t="s">
        <v>33</v>
      </c>
      <c r="N716" s="3" t="s">
        <v>736</v>
      </c>
      <c r="O716" s="1"/>
    </row>
    <row r="717" spans="1:15" ht="15" customHeight="1">
      <c r="A717" t="s">
        <v>737</v>
      </c>
      <c r="B717" s="1" t="str">
        <f>LEFT(Table1[[#This Row],[Item]], FIND("-", Table1[[#This Row],[Item]]) - 1)</f>
        <v>GX08</v>
      </c>
      <c r="C717" s="1" t="str">
        <f>MID(LEFT(Table1[[#This Row],[Item]], FIND("{token}", SUBSTITUTE(Table1[[#This Row],[Item]], "-", "{token}", 2)) - 1), FIND("-", Table1[[#This Row],[Item]]) + 1, LEN(Table1[[#This Row],[Item]]))</f>
        <v>R</v>
      </c>
      <c r="D71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1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17" s="1" cm="1">
        <f t="array" ref="F717">VALUE(INDEX(_xlfn.TEXTSPLIT(Table1[[#This Row],[Item]], "-"), 5))</f>
        <v>1</v>
      </c>
      <c r="G717" s="1" cm="1">
        <f t="array" ref="G717">VALUE(INDEX(_xlfn.TEXTSPLIT(Table1[[#This Row],[Item]], "-"), 6))</f>
        <v>1</v>
      </c>
      <c r="H717" s="1" cm="1">
        <f t="array" ref="H717">VALUE(INDEX(_xlfn.TEXTSPLIT(Table1[[#This Row],[Item]], "-"), 7))</f>
        <v>0</v>
      </c>
      <c r="I71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17" s="1" t="str">
        <f>LEFT(RIGHT(Table1[[#This Row],[Item]],6),1)</f>
        <v>N</v>
      </c>
      <c r="K717" s="1" t="str">
        <f t="shared" si="12"/>
        <v>N</v>
      </c>
      <c r="L717" s="1" t="str">
        <f>RIGHT(Table1[[#This Row],[Item]],2)</f>
        <v>DG</v>
      </c>
      <c r="M717" s="1" t="s">
        <v>33</v>
      </c>
      <c r="N717" s="3" t="s">
        <v>737</v>
      </c>
      <c r="O717" s="1"/>
    </row>
    <row r="718" spans="1:15" ht="15" customHeight="1">
      <c r="A718" t="s">
        <v>738</v>
      </c>
      <c r="B718" s="1" t="str">
        <f>LEFT(Table1[[#This Row],[Item]], FIND("-", Table1[[#This Row],[Item]]) - 1)</f>
        <v>GX08</v>
      </c>
      <c r="C718" s="1" t="str">
        <f>MID(LEFT(Table1[[#This Row],[Item]], FIND("{token}", SUBSTITUTE(Table1[[#This Row],[Item]], "-", "{token}", 2)) - 1), FIND("-", Table1[[#This Row],[Item]]) + 1, LEN(Table1[[#This Row],[Item]]))</f>
        <v>R</v>
      </c>
      <c r="D718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71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18" s="1" cm="1">
        <f t="array" ref="F718">VALUE(INDEX(_xlfn.TEXTSPLIT(Table1[[#This Row],[Item]], "-"), 5))</f>
        <v>1</v>
      </c>
      <c r="G718" s="1" cm="1">
        <f t="array" ref="G718">VALUE(INDEX(_xlfn.TEXTSPLIT(Table1[[#This Row],[Item]], "-"), 6))</f>
        <v>1</v>
      </c>
      <c r="H718" s="1" cm="1">
        <f t="array" ref="H718">VALUE(INDEX(_xlfn.TEXTSPLIT(Table1[[#This Row],[Item]], "-"), 7))</f>
        <v>0</v>
      </c>
      <c r="I71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18" s="1" t="str">
        <f>LEFT(RIGHT(Table1[[#This Row],[Item]],6),1)</f>
        <v>N</v>
      </c>
      <c r="K718" s="1" t="str">
        <f t="shared" si="12"/>
        <v>N</v>
      </c>
      <c r="L718" s="1" t="str">
        <f>RIGHT(Table1[[#This Row],[Item]],2)</f>
        <v>DG</v>
      </c>
      <c r="M718" s="1" t="s">
        <v>33</v>
      </c>
      <c r="N718" s="3" t="s">
        <v>738</v>
      </c>
      <c r="O718" s="1"/>
    </row>
    <row r="719" spans="1:15" ht="15" customHeight="1">
      <c r="A719" t="s">
        <v>739</v>
      </c>
      <c r="B719" s="1" t="str">
        <f>LEFT(Table1[[#This Row],[Item]], FIND("-", Table1[[#This Row],[Item]]) - 1)</f>
        <v>GX08</v>
      </c>
      <c r="C719" s="1" t="str">
        <f>MID(LEFT(Table1[[#This Row],[Item]], FIND("{token}", SUBSTITUTE(Table1[[#This Row],[Item]], "-", "{token}", 2)) - 1), FIND("-", Table1[[#This Row],[Item]]) + 1, LEN(Table1[[#This Row],[Item]]))</f>
        <v>RXL</v>
      </c>
      <c r="D71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1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719" s="1" cm="1">
        <f t="array" ref="F719">VALUE(INDEX(_xlfn.TEXTSPLIT(Table1[[#This Row],[Item]], "-"), 5))</f>
        <v>1</v>
      </c>
      <c r="G719" s="1" cm="1">
        <f t="array" ref="G719">VALUE(INDEX(_xlfn.TEXTSPLIT(Table1[[#This Row],[Item]], "-"), 6))</f>
        <v>0</v>
      </c>
      <c r="H719" s="1" cm="1">
        <f t="array" ref="H719">VALUE(INDEX(_xlfn.TEXTSPLIT(Table1[[#This Row],[Item]], "-"), 7))</f>
        <v>1</v>
      </c>
      <c r="I71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19" s="1" t="str">
        <f>LEFT(RIGHT(Table1[[#This Row],[Item]],6),1)</f>
        <v>N</v>
      </c>
      <c r="K719" s="1" t="str">
        <f t="shared" si="12"/>
        <v>N</v>
      </c>
      <c r="L719" s="1" t="str">
        <f>RIGHT(Table1[[#This Row],[Item]],2)</f>
        <v>DG</v>
      </c>
      <c r="M719" s="1" t="s">
        <v>33</v>
      </c>
      <c r="N719" s="3" t="s">
        <v>739</v>
      </c>
      <c r="O719" s="1"/>
    </row>
    <row r="720" spans="1:15" ht="15" customHeight="1">
      <c r="A720" t="s">
        <v>740</v>
      </c>
      <c r="B720" s="1" t="str">
        <f>LEFT(Table1[[#This Row],[Item]], FIND("-", Table1[[#This Row],[Item]]) - 1)</f>
        <v>GX08</v>
      </c>
      <c r="C720" s="1" t="str">
        <f>MID(LEFT(Table1[[#This Row],[Item]], FIND("{token}", SUBSTITUTE(Table1[[#This Row],[Item]], "-", "{token}", 2)) - 1), FIND("-", Table1[[#This Row],[Item]]) + 1, LEN(Table1[[#This Row],[Item]]))</f>
        <v>RXL</v>
      </c>
      <c r="D72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2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720" s="1" cm="1">
        <f t="array" ref="F720">VALUE(INDEX(_xlfn.TEXTSPLIT(Table1[[#This Row],[Item]], "-"), 5))</f>
        <v>1</v>
      </c>
      <c r="G720" s="1" cm="1">
        <f t="array" ref="G720">VALUE(INDEX(_xlfn.TEXTSPLIT(Table1[[#This Row],[Item]], "-"), 6))</f>
        <v>1</v>
      </c>
      <c r="H720" s="1" cm="1">
        <f t="array" ref="H720">VALUE(INDEX(_xlfn.TEXTSPLIT(Table1[[#This Row],[Item]], "-"), 7))</f>
        <v>0</v>
      </c>
      <c r="I72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20" s="1" t="str">
        <f>LEFT(RIGHT(Table1[[#This Row],[Item]],6),1)</f>
        <v>N</v>
      </c>
      <c r="K720" s="1" t="str">
        <f t="shared" si="12"/>
        <v>N</v>
      </c>
      <c r="L720" s="1" t="str">
        <f>RIGHT(Table1[[#This Row],[Item]],2)</f>
        <v>DG</v>
      </c>
      <c r="M720" s="1" t="s">
        <v>33</v>
      </c>
      <c r="N720" s="3" t="s">
        <v>740</v>
      </c>
      <c r="O720" s="1"/>
    </row>
    <row r="721" spans="1:15" ht="15" customHeight="1">
      <c r="A721" t="s">
        <v>741</v>
      </c>
      <c r="B721" s="1" t="str">
        <f>LEFT(Table1[[#This Row],[Item]], FIND("-", Table1[[#This Row],[Item]]) - 1)</f>
        <v>GX08</v>
      </c>
      <c r="C721" s="1" t="str">
        <f>MID(LEFT(Table1[[#This Row],[Item]], FIND("{token}", SUBSTITUTE(Table1[[#This Row],[Item]], "-", "{token}", 2)) - 1), FIND("-", Table1[[#This Row],[Item]]) + 1, LEN(Table1[[#This Row],[Item]]))</f>
        <v>RXL</v>
      </c>
      <c r="D72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2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721" s="1" cm="1">
        <f t="array" ref="F721">VALUE(INDEX(_xlfn.TEXTSPLIT(Table1[[#This Row],[Item]], "-"), 5))</f>
        <v>1</v>
      </c>
      <c r="G721" s="1" cm="1">
        <f t="array" ref="G721">VALUE(INDEX(_xlfn.TEXTSPLIT(Table1[[#This Row],[Item]], "-"), 6))</f>
        <v>1</v>
      </c>
      <c r="H721" s="1" cm="1">
        <f t="array" ref="H721">VALUE(INDEX(_xlfn.TEXTSPLIT(Table1[[#This Row],[Item]], "-"), 7))</f>
        <v>1</v>
      </c>
      <c r="I72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21" s="1" t="str">
        <f>LEFT(RIGHT(Table1[[#This Row],[Item]],6),1)</f>
        <v>N</v>
      </c>
      <c r="K721" s="1" t="str">
        <f t="shared" si="12"/>
        <v>N</v>
      </c>
      <c r="L721" s="1" t="str">
        <f>RIGHT(Table1[[#This Row],[Item]],2)</f>
        <v>DG</v>
      </c>
      <c r="M721" s="1" t="s">
        <v>33</v>
      </c>
      <c r="N721" s="3" t="s">
        <v>741</v>
      </c>
      <c r="O721" s="1"/>
    </row>
    <row r="722" spans="1:15" ht="15" customHeight="1">
      <c r="A722" t="s">
        <v>742</v>
      </c>
      <c r="B722" s="1" t="str">
        <f>LEFT(Table1[[#This Row],[Item]], FIND("-", Table1[[#This Row],[Item]]) - 1)</f>
        <v>GX08</v>
      </c>
      <c r="C722" s="1" t="str">
        <f>MID(LEFT(Table1[[#This Row],[Item]], FIND("{token}", SUBSTITUTE(Table1[[#This Row],[Item]], "-", "{token}", 2)) - 1), FIND("-", Table1[[#This Row],[Item]]) + 1, LEN(Table1[[#This Row],[Item]]))</f>
        <v>RXL</v>
      </c>
      <c r="D722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2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22" s="1" cm="1">
        <f t="array" ref="F722">VALUE(INDEX(_xlfn.TEXTSPLIT(Table1[[#This Row],[Item]], "-"), 5))</f>
        <v>1</v>
      </c>
      <c r="G722" s="1" cm="1">
        <f t="array" ref="G722">VALUE(INDEX(_xlfn.TEXTSPLIT(Table1[[#This Row],[Item]], "-"), 6))</f>
        <v>0</v>
      </c>
      <c r="H722" s="1" cm="1">
        <f t="array" ref="H722">VALUE(INDEX(_xlfn.TEXTSPLIT(Table1[[#This Row],[Item]], "-"), 7))</f>
        <v>1</v>
      </c>
      <c r="I72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22" s="1" t="str">
        <f>LEFT(RIGHT(Table1[[#This Row],[Item]],6),1)</f>
        <v>N</v>
      </c>
      <c r="K722" s="1" t="str">
        <f t="shared" si="12"/>
        <v>N</v>
      </c>
      <c r="L722" s="1" t="str">
        <f>RIGHT(Table1[[#This Row],[Item]],2)</f>
        <v>DG</v>
      </c>
      <c r="M722" s="1" t="s">
        <v>33</v>
      </c>
      <c r="N722" s="3" t="s">
        <v>742</v>
      </c>
      <c r="O722" s="1"/>
    </row>
    <row r="723" spans="1:15" ht="15" customHeight="1">
      <c r="A723" t="s">
        <v>743</v>
      </c>
      <c r="B723" s="1" t="str">
        <f>LEFT(Table1[[#This Row],[Item]], FIND("-", Table1[[#This Row],[Item]]) - 1)</f>
        <v>GX08</v>
      </c>
      <c r="C723" s="1" t="str">
        <f>MID(LEFT(Table1[[#This Row],[Item]], FIND("{token}", SUBSTITUTE(Table1[[#This Row],[Item]], "-", "{token}", 2)) - 1), FIND("-", Table1[[#This Row],[Item]]) + 1, LEN(Table1[[#This Row],[Item]]))</f>
        <v>RXL</v>
      </c>
      <c r="D72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2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23" s="1" cm="1">
        <f t="array" ref="F723">VALUE(INDEX(_xlfn.TEXTSPLIT(Table1[[#This Row],[Item]], "-"), 5))</f>
        <v>1</v>
      </c>
      <c r="G723" s="1" cm="1">
        <f t="array" ref="G723">VALUE(INDEX(_xlfn.TEXTSPLIT(Table1[[#This Row],[Item]], "-"), 6))</f>
        <v>1</v>
      </c>
      <c r="H723" s="1" cm="1">
        <f t="array" ref="H723">VALUE(INDEX(_xlfn.TEXTSPLIT(Table1[[#This Row],[Item]], "-"), 7))</f>
        <v>0</v>
      </c>
      <c r="I72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23" s="1" t="str">
        <f>LEFT(RIGHT(Table1[[#This Row],[Item]],6),1)</f>
        <v>N</v>
      </c>
      <c r="K723" s="1" t="str">
        <f t="shared" si="12"/>
        <v>N</v>
      </c>
      <c r="L723" s="1" t="str">
        <f>RIGHT(Table1[[#This Row],[Item]],2)</f>
        <v>DG</v>
      </c>
      <c r="M723" s="1" t="s">
        <v>33</v>
      </c>
      <c r="N723" s="3" t="s">
        <v>743</v>
      </c>
      <c r="O723" s="1"/>
    </row>
    <row r="724" spans="1:15" ht="15" customHeight="1">
      <c r="A724" t="s">
        <v>744</v>
      </c>
      <c r="B724" s="1" t="str">
        <f>LEFT(Table1[[#This Row],[Item]], FIND("-", Table1[[#This Row],[Item]]) - 1)</f>
        <v>GX08</v>
      </c>
      <c r="C724" s="1" t="str">
        <f>MID(LEFT(Table1[[#This Row],[Item]], FIND("{token}", SUBSTITUTE(Table1[[#This Row],[Item]], "-", "{token}", 2)) - 1), FIND("-", Table1[[#This Row],[Item]]) + 1, LEN(Table1[[#This Row],[Item]]))</f>
        <v>RXL</v>
      </c>
      <c r="D724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2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24" s="1" cm="1">
        <f t="array" ref="F724">VALUE(INDEX(_xlfn.TEXTSPLIT(Table1[[#This Row],[Item]], "-"), 5))</f>
        <v>1</v>
      </c>
      <c r="G724" s="1" cm="1">
        <f t="array" ref="G724">VALUE(INDEX(_xlfn.TEXTSPLIT(Table1[[#This Row],[Item]], "-"), 6))</f>
        <v>1</v>
      </c>
      <c r="H724" s="1" cm="1">
        <f t="array" ref="H724">VALUE(INDEX(_xlfn.TEXTSPLIT(Table1[[#This Row],[Item]], "-"), 7))</f>
        <v>1</v>
      </c>
      <c r="I72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24" s="1" t="str">
        <f>LEFT(RIGHT(Table1[[#This Row],[Item]],6),1)</f>
        <v>N</v>
      </c>
      <c r="K724" s="1" t="str">
        <f t="shared" si="12"/>
        <v>N</v>
      </c>
      <c r="L724" s="1" t="str">
        <f>RIGHT(Table1[[#This Row],[Item]],2)</f>
        <v>DG</v>
      </c>
      <c r="M724" s="1" t="s">
        <v>33</v>
      </c>
      <c r="N724" s="3" t="s">
        <v>744</v>
      </c>
      <c r="O724" s="1"/>
    </row>
    <row r="725" spans="1:15" ht="15" customHeight="1">
      <c r="A725" t="s">
        <v>745</v>
      </c>
      <c r="B725" s="1" t="str">
        <f>LEFT(Table1[[#This Row],[Item]], FIND("-", Table1[[#This Row],[Item]]) - 1)</f>
        <v>GX08</v>
      </c>
      <c r="C725" s="1" t="str">
        <f>MID(LEFT(Table1[[#This Row],[Item]], FIND("{token}", SUBSTITUTE(Table1[[#This Row],[Item]], "-", "{token}", 2)) - 1), FIND("-", Table1[[#This Row],[Item]]) + 1, LEN(Table1[[#This Row],[Item]]))</f>
        <v>RXL</v>
      </c>
      <c r="D72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2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725" s="1" cm="1">
        <f t="array" ref="F725">VALUE(INDEX(_xlfn.TEXTSPLIT(Table1[[#This Row],[Item]], "-"), 5))</f>
        <v>1</v>
      </c>
      <c r="G725" s="1" cm="1">
        <f t="array" ref="G725">VALUE(INDEX(_xlfn.TEXTSPLIT(Table1[[#This Row],[Item]], "-"), 6))</f>
        <v>1</v>
      </c>
      <c r="H725" s="1" cm="1">
        <f t="array" ref="H725">VALUE(INDEX(_xlfn.TEXTSPLIT(Table1[[#This Row],[Item]], "-"), 7))</f>
        <v>0</v>
      </c>
      <c r="I72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25" s="1" t="str">
        <f>LEFT(RIGHT(Table1[[#This Row],[Item]],6),1)</f>
        <v>N</v>
      </c>
      <c r="K725" s="1" t="str">
        <f t="shared" si="12"/>
        <v>N</v>
      </c>
      <c r="L725" s="1" t="str">
        <f>RIGHT(Table1[[#This Row],[Item]],2)</f>
        <v>DG</v>
      </c>
      <c r="M725" s="1" t="s">
        <v>33</v>
      </c>
      <c r="N725" s="3" t="s">
        <v>745</v>
      </c>
      <c r="O725" s="1"/>
    </row>
    <row r="726" spans="1:15" ht="15" customHeight="1">
      <c r="A726" t="s">
        <v>746</v>
      </c>
      <c r="B726" s="1" t="str">
        <f>LEFT(Table1[[#This Row],[Item]], FIND("-", Table1[[#This Row],[Item]]) - 1)</f>
        <v>GX08</v>
      </c>
      <c r="C726" s="1" t="str">
        <f>MID(LEFT(Table1[[#This Row],[Item]], FIND("{token}", SUBSTITUTE(Table1[[#This Row],[Item]], "-", "{token}", 2)) - 1), FIND("-", Table1[[#This Row],[Item]]) + 1, LEN(Table1[[#This Row],[Item]]))</f>
        <v>RXL</v>
      </c>
      <c r="D72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2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726" s="1" cm="1">
        <f t="array" ref="F726">VALUE(INDEX(_xlfn.TEXTSPLIT(Table1[[#This Row],[Item]], "-"), 5))</f>
        <v>1</v>
      </c>
      <c r="G726" s="1" cm="1">
        <f t="array" ref="G726">VALUE(INDEX(_xlfn.TEXTSPLIT(Table1[[#This Row],[Item]], "-"), 6))</f>
        <v>1</v>
      </c>
      <c r="H726" s="1" cm="1">
        <f t="array" ref="H726">VALUE(INDEX(_xlfn.TEXTSPLIT(Table1[[#This Row],[Item]], "-"), 7))</f>
        <v>1</v>
      </c>
      <c r="I72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26" s="1" t="str">
        <f>LEFT(RIGHT(Table1[[#This Row],[Item]],6),1)</f>
        <v>N</v>
      </c>
      <c r="K726" s="1" t="str">
        <f t="shared" si="12"/>
        <v>N</v>
      </c>
      <c r="L726" s="1" t="str">
        <f>RIGHT(Table1[[#This Row],[Item]],2)</f>
        <v>DG</v>
      </c>
      <c r="M726" s="1" t="s">
        <v>33</v>
      </c>
      <c r="N726" s="3" t="s">
        <v>746</v>
      </c>
      <c r="O726" s="1"/>
    </row>
    <row r="727" spans="1:15" ht="15" customHeight="1">
      <c r="A727" t="s">
        <v>747</v>
      </c>
      <c r="B727" s="1" t="str">
        <f>LEFT(Table1[[#This Row],[Item]], FIND("-", Table1[[#This Row],[Item]]) - 1)</f>
        <v>GX08</v>
      </c>
      <c r="C727" s="1" t="str">
        <f>MID(LEFT(Table1[[#This Row],[Item]], FIND("{token}", SUBSTITUTE(Table1[[#This Row],[Item]], "-", "{token}", 2)) - 1), FIND("-", Table1[[#This Row],[Item]]) + 1, LEN(Table1[[#This Row],[Item]]))</f>
        <v>RXL</v>
      </c>
      <c r="D72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2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27" s="1" cm="1">
        <f t="array" ref="F727">VALUE(INDEX(_xlfn.TEXTSPLIT(Table1[[#This Row],[Item]], "-"), 5))</f>
        <v>1</v>
      </c>
      <c r="G727" s="1" cm="1">
        <f t="array" ref="G727">VALUE(INDEX(_xlfn.TEXTSPLIT(Table1[[#This Row],[Item]], "-"), 6))</f>
        <v>0</v>
      </c>
      <c r="H727" s="1" cm="1">
        <f t="array" ref="H727">VALUE(INDEX(_xlfn.TEXTSPLIT(Table1[[#This Row],[Item]], "-"), 7))</f>
        <v>1</v>
      </c>
      <c r="I72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27" s="1" t="str">
        <f>LEFT(RIGHT(Table1[[#This Row],[Item]],6),1)</f>
        <v>N</v>
      </c>
      <c r="K727" s="1" t="str">
        <f t="shared" si="12"/>
        <v>N</v>
      </c>
      <c r="L727" s="1" t="str">
        <f>RIGHT(Table1[[#This Row],[Item]],2)</f>
        <v>DG</v>
      </c>
      <c r="M727" s="1" t="s">
        <v>33</v>
      </c>
      <c r="N727" s="3" t="s">
        <v>747</v>
      </c>
      <c r="O727" s="1"/>
    </row>
    <row r="728" spans="1:15" ht="15" customHeight="1">
      <c r="A728" t="s">
        <v>748</v>
      </c>
      <c r="B728" s="1" t="str">
        <f>LEFT(Table1[[#This Row],[Item]], FIND("-", Table1[[#This Row],[Item]]) - 1)</f>
        <v>GX08</v>
      </c>
      <c r="C728" s="1" t="str">
        <f>MID(LEFT(Table1[[#This Row],[Item]], FIND("{token}", SUBSTITUTE(Table1[[#This Row],[Item]], "-", "{token}", 2)) - 1), FIND("-", Table1[[#This Row],[Item]]) + 1, LEN(Table1[[#This Row],[Item]]))</f>
        <v>RXL</v>
      </c>
      <c r="D72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2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28" s="1" cm="1">
        <f t="array" ref="F728">VALUE(INDEX(_xlfn.TEXTSPLIT(Table1[[#This Row],[Item]], "-"), 5))</f>
        <v>1</v>
      </c>
      <c r="G728" s="1" cm="1">
        <f t="array" ref="G728">VALUE(INDEX(_xlfn.TEXTSPLIT(Table1[[#This Row],[Item]], "-"), 6))</f>
        <v>1</v>
      </c>
      <c r="H728" s="1" cm="1">
        <f t="array" ref="H728">VALUE(INDEX(_xlfn.TEXTSPLIT(Table1[[#This Row],[Item]], "-"), 7))</f>
        <v>0</v>
      </c>
      <c r="I72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28" s="1" t="str">
        <f>LEFT(RIGHT(Table1[[#This Row],[Item]],6),1)</f>
        <v>N</v>
      </c>
      <c r="K728" s="1" t="str">
        <f t="shared" si="12"/>
        <v>N</v>
      </c>
      <c r="L728" s="1" t="str">
        <f>RIGHT(Table1[[#This Row],[Item]],2)</f>
        <v>DG</v>
      </c>
      <c r="M728" s="1" t="s">
        <v>33</v>
      </c>
      <c r="N728" s="3" t="s">
        <v>748</v>
      </c>
      <c r="O728" s="1"/>
    </row>
    <row r="729" spans="1:15" ht="15" customHeight="1">
      <c r="A729" t="s">
        <v>749</v>
      </c>
      <c r="B729" s="1" t="str">
        <f>LEFT(Table1[[#This Row],[Item]], FIND("-", Table1[[#This Row],[Item]]) - 1)</f>
        <v>GX08</v>
      </c>
      <c r="C729" s="1" t="str">
        <f>MID(LEFT(Table1[[#This Row],[Item]], FIND("{token}", SUBSTITUTE(Table1[[#This Row],[Item]], "-", "{token}", 2)) - 1), FIND("-", Table1[[#This Row],[Item]]) + 1, LEN(Table1[[#This Row],[Item]]))</f>
        <v>RXL</v>
      </c>
      <c r="D72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2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29" s="1" cm="1">
        <f t="array" ref="F729">VALUE(INDEX(_xlfn.TEXTSPLIT(Table1[[#This Row],[Item]], "-"), 5))</f>
        <v>1</v>
      </c>
      <c r="G729" s="1" cm="1">
        <f t="array" ref="G729">VALUE(INDEX(_xlfn.TEXTSPLIT(Table1[[#This Row],[Item]], "-"), 6))</f>
        <v>1</v>
      </c>
      <c r="H729" s="1" cm="1">
        <f t="array" ref="H729">VALUE(INDEX(_xlfn.TEXTSPLIT(Table1[[#This Row],[Item]], "-"), 7))</f>
        <v>1</v>
      </c>
      <c r="I72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29" s="1" t="str">
        <f>LEFT(RIGHT(Table1[[#This Row],[Item]],6),1)</f>
        <v>N</v>
      </c>
      <c r="K729" s="1" t="str">
        <f t="shared" si="12"/>
        <v>N</v>
      </c>
      <c r="L729" s="1" t="str">
        <f>RIGHT(Table1[[#This Row],[Item]],2)</f>
        <v>DG</v>
      </c>
      <c r="M729" s="1" t="s">
        <v>33</v>
      </c>
      <c r="N729" s="3" t="s">
        <v>749</v>
      </c>
      <c r="O729" s="1"/>
    </row>
    <row r="730" spans="1:15" ht="15" customHeight="1">
      <c r="A730" t="s">
        <v>750</v>
      </c>
      <c r="B730" s="1" t="str">
        <f>LEFT(Table1[[#This Row],[Item]], FIND("-", Table1[[#This Row],[Item]]) - 1)</f>
        <v>GX09</v>
      </c>
      <c r="C730" s="1" t="str">
        <f>MID(LEFT(Table1[[#This Row],[Item]], FIND("{token}", SUBSTITUTE(Table1[[#This Row],[Item]], "-", "{token}", 2)) - 1), FIND("-", Table1[[#This Row],[Item]]) + 1, LEN(Table1[[#This Row],[Item]]))</f>
        <v>D</v>
      </c>
      <c r="D73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3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30" s="1" cm="1">
        <f t="array" ref="F730">VALUE(INDEX(_xlfn.TEXTSPLIT(Table1[[#This Row],[Item]], "-"), 5))</f>
        <v>0</v>
      </c>
      <c r="G730" s="1" cm="1">
        <f t="array" ref="G730">VALUE(INDEX(_xlfn.TEXTSPLIT(Table1[[#This Row],[Item]], "-"), 6))</f>
        <v>1</v>
      </c>
      <c r="H730" s="1" cm="1">
        <f t="array" ref="H730">VALUE(INDEX(_xlfn.TEXTSPLIT(Table1[[#This Row],[Item]], "-"), 7))</f>
        <v>1</v>
      </c>
      <c r="I73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30" s="1" t="str">
        <f>LEFT(RIGHT(Table1[[#This Row],[Item]],6),1)</f>
        <v>N</v>
      </c>
      <c r="K730" s="1" t="str">
        <f t="shared" ref="K730:K793" si="13">MID(A730, LEN(A730)-3, 1)</f>
        <v>N</v>
      </c>
      <c r="L730" s="1" t="str">
        <f>RIGHT(Table1[[#This Row],[Item]],2)</f>
        <v>DG</v>
      </c>
      <c r="M730" s="1" t="s">
        <v>33</v>
      </c>
      <c r="N730" s="3" t="s">
        <v>750</v>
      </c>
      <c r="O730" s="1"/>
    </row>
    <row r="731" spans="1:15" ht="15" customHeight="1">
      <c r="A731" t="s">
        <v>751</v>
      </c>
      <c r="B731" s="1" t="str">
        <f>LEFT(Table1[[#This Row],[Item]], FIND("-", Table1[[#This Row],[Item]]) - 1)</f>
        <v>GX09</v>
      </c>
      <c r="C731" s="1" t="str">
        <f>MID(LEFT(Table1[[#This Row],[Item]], FIND("{token}", SUBSTITUTE(Table1[[#This Row],[Item]], "-", "{token}", 2)) - 1), FIND("-", Table1[[#This Row],[Item]]) + 1, LEN(Table1[[#This Row],[Item]]))</f>
        <v>D</v>
      </c>
      <c r="D73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3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31" s="1" cm="1">
        <f t="array" ref="F731">VALUE(INDEX(_xlfn.TEXTSPLIT(Table1[[#This Row],[Item]], "-"), 5))</f>
        <v>0</v>
      </c>
      <c r="G731" s="1" cm="1">
        <f t="array" ref="G731">VALUE(INDEX(_xlfn.TEXTSPLIT(Table1[[#This Row],[Item]], "-"), 6))</f>
        <v>0</v>
      </c>
      <c r="H731" s="1" cm="1">
        <f t="array" ref="H731">VALUE(INDEX(_xlfn.TEXTSPLIT(Table1[[#This Row],[Item]], "-"), 7))</f>
        <v>0</v>
      </c>
      <c r="I73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31" s="1" t="str">
        <f>LEFT(RIGHT(Table1[[#This Row],[Item]],6),1)</f>
        <v>N</v>
      </c>
      <c r="K731" s="1" t="str">
        <f t="shared" si="13"/>
        <v>N</v>
      </c>
      <c r="L731" s="1" t="str">
        <f>RIGHT(Table1[[#This Row],[Item]],2)</f>
        <v>DG</v>
      </c>
      <c r="M731" s="1" t="s">
        <v>33</v>
      </c>
      <c r="N731" s="3" t="s">
        <v>752</v>
      </c>
      <c r="O731" s="1"/>
    </row>
    <row r="732" spans="1:15" ht="15" customHeight="1">
      <c r="A732" t="s">
        <v>753</v>
      </c>
      <c r="B732" s="1" t="str">
        <f>LEFT(Table1[[#This Row],[Item]], FIND("-", Table1[[#This Row],[Item]]) - 1)</f>
        <v>GX09</v>
      </c>
      <c r="C732" s="1" t="str">
        <f>MID(LEFT(Table1[[#This Row],[Item]], FIND("{token}", SUBSTITUTE(Table1[[#This Row],[Item]], "-", "{token}", 2)) - 1), FIND("-", Table1[[#This Row],[Item]]) + 1, LEN(Table1[[#This Row],[Item]]))</f>
        <v>D</v>
      </c>
      <c r="D732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3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32" s="1" cm="1">
        <f t="array" ref="F732">VALUE(INDEX(_xlfn.TEXTSPLIT(Table1[[#This Row],[Item]], "-"), 5))</f>
        <v>0</v>
      </c>
      <c r="G732" s="1" cm="1">
        <f t="array" ref="G732">VALUE(INDEX(_xlfn.TEXTSPLIT(Table1[[#This Row],[Item]], "-"), 6))</f>
        <v>1</v>
      </c>
      <c r="H732" s="1" cm="1">
        <f t="array" ref="H732">VALUE(INDEX(_xlfn.TEXTSPLIT(Table1[[#This Row],[Item]], "-"), 7))</f>
        <v>0</v>
      </c>
      <c r="I73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32" s="1" t="str">
        <f>LEFT(RIGHT(Table1[[#This Row],[Item]],6),1)</f>
        <v>N</v>
      </c>
      <c r="K732" s="1" t="str">
        <f t="shared" si="13"/>
        <v>N</v>
      </c>
      <c r="L732" s="1" t="str">
        <f>RIGHT(Table1[[#This Row],[Item]],2)</f>
        <v>DG</v>
      </c>
      <c r="M732" s="1" t="s">
        <v>33</v>
      </c>
      <c r="N732" s="3" t="s">
        <v>752</v>
      </c>
      <c r="O732" s="1"/>
    </row>
    <row r="733" spans="1:15" ht="15" customHeight="1">
      <c r="A733" t="s">
        <v>754</v>
      </c>
      <c r="B733" s="1" t="str">
        <f>LEFT(Table1[[#This Row],[Item]], FIND("-", Table1[[#This Row],[Item]]) - 1)</f>
        <v>GX09</v>
      </c>
      <c r="C733" s="1" t="str">
        <f>MID(LEFT(Table1[[#This Row],[Item]], FIND("{token}", SUBSTITUTE(Table1[[#This Row],[Item]], "-", "{token}", 2)) - 1), FIND("-", Table1[[#This Row],[Item]]) + 1, LEN(Table1[[#This Row],[Item]]))</f>
        <v>D</v>
      </c>
      <c r="D73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3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33" s="1" cm="1">
        <f t="array" ref="F733">VALUE(INDEX(_xlfn.TEXTSPLIT(Table1[[#This Row],[Item]], "-"), 5))</f>
        <v>0</v>
      </c>
      <c r="G733" s="1" cm="1">
        <f t="array" ref="G733">VALUE(INDEX(_xlfn.TEXTSPLIT(Table1[[#This Row],[Item]], "-"), 6))</f>
        <v>2</v>
      </c>
      <c r="H733" s="1" cm="1">
        <f t="array" ref="H733">VALUE(INDEX(_xlfn.TEXTSPLIT(Table1[[#This Row],[Item]], "-"), 7))</f>
        <v>0</v>
      </c>
      <c r="I73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33" s="1" t="str">
        <f>LEFT(RIGHT(Table1[[#This Row],[Item]],6),1)</f>
        <v>N</v>
      </c>
      <c r="K733" s="1" t="str">
        <f t="shared" si="13"/>
        <v>N</v>
      </c>
      <c r="L733" s="1" t="str">
        <f>RIGHT(Table1[[#This Row],[Item]],2)</f>
        <v>DG</v>
      </c>
      <c r="M733" s="1" t="s">
        <v>33</v>
      </c>
      <c r="N733" s="3" t="s">
        <v>752</v>
      </c>
      <c r="O733" s="1"/>
    </row>
    <row r="734" spans="1:15" ht="15" customHeight="1">
      <c r="A734" t="s">
        <v>755</v>
      </c>
      <c r="B734" s="1" t="str">
        <f>LEFT(Table1[[#This Row],[Item]], FIND("-", Table1[[#This Row],[Item]]) - 1)</f>
        <v>GX09</v>
      </c>
      <c r="C734" s="1" t="str">
        <f>MID(LEFT(Table1[[#This Row],[Item]], FIND("{token}", SUBSTITUTE(Table1[[#This Row],[Item]], "-", "{token}", 2)) - 1), FIND("-", Table1[[#This Row],[Item]]) + 1, LEN(Table1[[#This Row],[Item]]))</f>
        <v>D</v>
      </c>
      <c r="D73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3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734" s="1" cm="1">
        <f t="array" ref="F734">VALUE(INDEX(_xlfn.TEXTSPLIT(Table1[[#This Row],[Item]], "-"), 5))</f>
        <v>0</v>
      </c>
      <c r="G734" s="1" cm="1">
        <f t="array" ref="G734">VALUE(INDEX(_xlfn.TEXTSPLIT(Table1[[#This Row],[Item]], "-"), 6))</f>
        <v>0</v>
      </c>
      <c r="H734" s="1" cm="1">
        <f t="array" ref="H734">VALUE(INDEX(_xlfn.TEXTSPLIT(Table1[[#This Row],[Item]], "-"), 7))</f>
        <v>2</v>
      </c>
      <c r="I73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34" s="1" t="str">
        <f>LEFT(RIGHT(Table1[[#This Row],[Item]],6),1)</f>
        <v>N</v>
      </c>
      <c r="K734" s="1" t="str">
        <f t="shared" si="13"/>
        <v>N</v>
      </c>
      <c r="L734" s="1" t="str">
        <f>RIGHT(Table1[[#This Row],[Item]],2)</f>
        <v>DG</v>
      </c>
      <c r="M734" s="1" t="s">
        <v>33</v>
      </c>
      <c r="N734" s="3" t="s">
        <v>755</v>
      </c>
      <c r="O734" s="1"/>
    </row>
    <row r="735" spans="1:15" ht="15" customHeight="1">
      <c r="A735" t="s">
        <v>752</v>
      </c>
      <c r="B735" s="1" t="str">
        <f>LEFT(Table1[[#This Row],[Item]], FIND("-", Table1[[#This Row],[Item]]) - 1)</f>
        <v>GX09</v>
      </c>
      <c r="C735" s="1" t="str">
        <f>MID(LEFT(Table1[[#This Row],[Item]], FIND("{token}", SUBSTITUTE(Table1[[#This Row],[Item]], "-", "{token}", 2)) - 1), FIND("-", Table1[[#This Row],[Item]]) + 1, LEN(Table1[[#This Row],[Item]]))</f>
        <v>D</v>
      </c>
      <c r="D73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3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35" s="1" cm="1">
        <f t="array" ref="F735">VALUE(INDEX(_xlfn.TEXTSPLIT(Table1[[#This Row],[Item]], "-"), 5))</f>
        <v>0</v>
      </c>
      <c r="G735" s="1" cm="1">
        <f t="array" ref="G735">VALUE(INDEX(_xlfn.TEXTSPLIT(Table1[[#This Row],[Item]], "-"), 6))</f>
        <v>0</v>
      </c>
      <c r="H735" s="1" cm="1">
        <f t="array" ref="H735">VALUE(INDEX(_xlfn.TEXTSPLIT(Table1[[#This Row],[Item]], "-"), 7))</f>
        <v>0</v>
      </c>
      <c r="I73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35" s="1" t="str">
        <f>LEFT(RIGHT(Table1[[#This Row],[Item]],6),1)</f>
        <v>N</v>
      </c>
      <c r="K735" s="1" t="str">
        <f t="shared" si="13"/>
        <v>N</v>
      </c>
      <c r="L735" s="1" t="str">
        <f>RIGHT(Table1[[#This Row],[Item]],2)</f>
        <v>DG</v>
      </c>
      <c r="M735" s="1" t="s">
        <v>33</v>
      </c>
      <c r="N735" s="3" t="s">
        <v>752</v>
      </c>
      <c r="O735" s="1"/>
    </row>
    <row r="736" spans="1:15" ht="15" customHeight="1">
      <c r="A736" t="s">
        <v>756</v>
      </c>
      <c r="B736" s="1" t="str">
        <f>LEFT(Table1[[#This Row],[Item]], FIND("-", Table1[[#This Row],[Item]]) - 1)</f>
        <v>GX09</v>
      </c>
      <c r="C736" s="1" t="str">
        <f>MID(LEFT(Table1[[#This Row],[Item]], FIND("{token}", SUBSTITUTE(Table1[[#This Row],[Item]], "-", "{token}", 2)) - 1), FIND("-", Table1[[#This Row],[Item]]) + 1, LEN(Table1[[#This Row],[Item]]))</f>
        <v>D</v>
      </c>
      <c r="D73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3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36" s="1" cm="1">
        <f t="array" ref="F736">VALUE(INDEX(_xlfn.TEXTSPLIT(Table1[[#This Row],[Item]], "-"), 5))</f>
        <v>0</v>
      </c>
      <c r="G736" s="1" cm="1">
        <f t="array" ref="G736">VALUE(INDEX(_xlfn.TEXTSPLIT(Table1[[#This Row],[Item]], "-"), 6))</f>
        <v>1</v>
      </c>
      <c r="H736" s="1" cm="1">
        <f t="array" ref="H736">VALUE(INDEX(_xlfn.TEXTSPLIT(Table1[[#This Row],[Item]], "-"), 7))</f>
        <v>0</v>
      </c>
      <c r="I73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36" s="1" t="str">
        <f>LEFT(RIGHT(Table1[[#This Row],[Item]],6),1)</f>
        <v>N</v>
      </c>
      <c r="K736" s="1" t="str">
        <f t="shared" si="13"/>
        <v>N</v>
      </c>
      <c r="L736" s="1" t="str">
        <f>RIGHT(Table1[[#This Row],[Item]],2)</f>
        <v>DG</v>
      </c>
      <c r="M736" s="1" t="s">
        <v>33</v>
      </c>
      <c r="N736" s="3" t="s">
        <v>752</v>
      </c>
      <c r="O736" s="1"/>
    </row>
    <row r="737" spans="1:15" ht="15" customHeight="1">
      <c r="A737" t="s">
        <v>757</v>
      </c>
      <c r="B737" s="1" t="str">
        <f>LEFT(Table1[[#This Row],[Item]], FIND("-", Table1[[#This Row],[Item]]) - 1)</f>
        <v>GX09</v>
      </c>
      <c r="C737" s="1" t="str">
        <f>MID(LEFT(Table1[[#This Row],[Item]], FIND("{token}", SUBSTITUTE(Table1[[#This Row],[Item]], "-", "{token}", 2)) - 1), FIND("-", Table1[[#This Row],[Item]]) + 1, LEN(Table1[[#This Row],[Item]]))</f>
        <v>D</v>
      </c>
      <c r="D73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3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37" s="1" cm="1">
        <f t="array" ref="F737">VALUE(INDEX(_xlfn.TEXTSPLIT(Table1[[#This Row],[Item]], "-"), 5))</f>
        <v>0</v>
      </c>
      <c r="G737" s="1" cm="1">
        <f t="array" ref="G737">VALUE(INDEX(_xlfn.TEXTSPLIT(Table1[[#This Row],[Item]], "-"), 6))</f>
        <v>2</v>
      </c>
      <c r="H737" s="1" cm="1">
        <f t="array" ref="H737">VALUE(INDEX(_xlfn.TEXTSPLIT(Table1[[#This Row],[Item]], "-"), 7))</f>
        <v>0</v>
      </c>
      <c r="I73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37" s="1" t="str">
        <f>LEFT(RIGHT(Table1[[#This Row],[Item]],6),1)</f>
        <v>N</v>
      </c>
      <c r="K737" s="1" t="str">
        <f t="shared" si="13"/>
        <v>N</v>
      </c>
      <c r="L737" s="1" t="str">
        <f>RIGHT(Table1[[#This Row],[Item]],2)</f>
        <v>DG</v>
      </c>
      <c r="M737" s="1" t="s">
        <v>33</v>
      </c>
      <c r="N737" s="3" t="s">
        <v>752</v>
      </c>
      <c r="O737" s="1"/>
    </row>
    <row r="738" spans="1:15" ht="15" customHeight="1">
      <c r="A738" t="s">
        <v>758</v>
      </c>
      <c r="B738" s="1" t="str">
        <f>LEFT(Table1[[#This Row],[Item]], FIND("-", Table1[[#This Row],[Item]]) - 1)</f>
        <v>GX09</v>
      </c>
      <c r="C738" s="1" t="str">
        <f>MID(LEFT(Table1[[#This Row],[Item]], FIND("{token}", SUBSTITUTE(Table1[[#This Row],[Item]], "-", "{token}", 2)) - 1), FIND("-", Table1[[#This Row],[Item]]) + 1, LEN(Table1[[#This Row],[Item]]))</f>
        <v>DXL</v>
      </c>
      <c r="D73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3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38" s="1" cm="1">
        <f t="array" ref="F738">VALUE(INDEX(_xlfn.TEXTSPLIT(Table1[[#This Row],[Item]], "-"), 5))</f>
        <v>0</v>
      </c>
      <c r="G738" s="1" cm="1">
        <f t="array" ref="G738">VALUE(INDEX(_xlfn.TEXTSPLIT(Table1[[#This Row],[Item]], "-"), 6))</f>
        <v>2</v>
      </c>
      <c r="H738" s="1" cm="1">
        <f t="array" ref="H738">VALUE(INDEX(_xlfn.TEXTSPLIT(Table1[[#This Row],[Item]], "-"), 7))</f>
        <v>0</v>
      </c>
      <c r="I73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38" s="1" t="str">
        <f>LEFT(RIGHT(Table1[[#This Row],[Item]],6),1)</f>
        <v>N</v>
      </c>
      <c r="K738" s="1" t="str">
        <f t="shared" si="13"/>
        <v>N</v>
      </c>
      <c r="L738" s="1" t="str">
        <f>RIGHT(Table1[[#This Row],[Item]],2)</f>
        <v>DG</v>
      </c>
      <c r="M738" s="1" t="s">
        <v>33</v>
      </c>
      <c r="N738" s="3" t="s">
        <v>758</v>
      </c>
      <c r="O738" s="1"/>
    </row>
    <row r="739" spans="1:15" ht="15" customHeight="1">
      <c r="A739" t="s">
        <v>759</v>
      </c>
      <c r="B739" s="1" t="str">
        <f>LEFT(Table1[[#This Row],[Item]], FIND("-", Table1[[#This Row],[Item]]) - 1)</f>
        <v>GX09</v>
      </c>
      <c r="C739" s="1" t="str">
        <f>MID(LEFT(Table1[[#This Row],[Item]], FIND("{token}", SUBSTITUTE(Table1[[#This Row],[Item]], "-", "{token}", 2)) - 1), FIND("-", Table1[[#This Row],[Item]]) + 1, LEN(Table1[[#This Row],[Item]]))</f>
        <v>R</v>
      </c>
      <c r="D73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3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39" s="1" cm="1">
        <f t="array" ref="F739">VALUE(INDEX(_xlfn.TEXTSPLIT(Table1[[#This Row],[Item]], "-"), 5))</f>
        <v>0</v>
      </c>
      <c r="G739" s="1" cm="1">
        <f t="array" ref="G739">VALUE(INDEX(_xlfn.TEXTSPLIT(Table1[[#This Row],[Item]], "-"), 6))</f>
        <v>0</v>
      </c>
      <c r="H739" s="1" cm="1">
        <f t="array" ref="H739">VALUE(INDEX(_xlfn.TEXTSPLIT(Table1[[#This Row],[Item]], "-"), 7))</f>
        <v>0</v>
      </c>
      <c r="I73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39" s="1" t="str">
        <f>LEFT(RIGHT(Table1[[#This Row],[Item]],6),1)</f>
        <v>N</v>
      </c>
      <c r="K739" s="1" t="str">
        <f t="shared" si="13"/>
        <v>N</v>
      </c>
      <c r="L739" s="1" t="str">
        <f>RIGHT(Table1[[#This Row],[Item]],2)</f>
        <v>DG</v>
      </c>
      <c r="M739" s="1" t="s">
        <v>33</v>
      </c>
      <c r="N739" s="3" t="s">
        <v>760</v>
      </c>
      <c r="O739" s="1"/>
    </row>
    <row r="740" spans="1:15" ht="15" customHeight="1">
      <c r="A740" t="s">
        <v>761</v>
      </c>
      <c r="B740" s="1" t="str">
        <f>LEFT(Table1[[#This Row],[Item]], FIND("-", Table1[[#This Row],[Item]]) - 1)</f>
        <v>GX09</v>
      </c>
      <c r="C740" s="1" t="str">
        <f>MID(LEFT(Table1[[#This Row],[Item]], FIND("{token}", SUBSTITUTE(Table1[[#This Row],[Item]], "-", "{token}", 2)) - 1), FIND("-", Table1[[#This Row],[Item]]) + 1, LEN(Table1[[#This Row],[Item]]))</f>
        <v>R</v>
      </c>
      <c r="D74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4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40" s="1" cm="1">
        <f t="array" ref="F740">VALUE(INDEX(_xlfn.TEXTSPLIT(Table1[[#This Row],[Item]], "-"), 5))</f>
        <v>0</v>
      </c>
      <c r="G740" s="1" cm="1">
        <f t="array" ref="G740">VALUE(INDEX(_xlfn.TEXTSPLIT(Table1[[#This Row],[Item]], "-"), 6))</f>
        <v>1</v>
      </c>
      <c r="H740" s="1" cm="1">
        <f t="array" ref="H740">VALUE(INDEX(_xlfn.TEXTSPLIT(Table1[[#This Row],[Item]], "-"), 7))</f>
        <v>0</v>
      </c>
      <c r="I74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40" s="1" t="str">
        <f>LEFT(RIGHT(Table1[[#This Row],[Item]],6),1)</f>
        <v>N</v>
      </c>
      <c r="K740" s="1" t="str">
        <f t="shared" si="13"/>
        <v>N</v>
      </c>
      <c r="L740" s="1" t="str">
        <f>RIGHT(Table1[[#This Row],[Item]],2)</f>
        <v>DG</v>
      </c>
      <c r="M740" s="1" t="s">
        <v>33</v>
      </c>
      <c r="N740" s="3" t="s">
        <v>760</v>
      </c>
      <c r="O740" s="1"/>
    </row>
    <row r="741" spans="1:15" ht="15" customHeight="1">
      <c r="A741" t="s">
        <v>762</v>
      </c>
      <c r="B741" s="1" t="str">
        <f>LEFT(Table1[[#This Row],[Item]], FIND("-", Table1[[#This Row],[Item]]) - 1)</f>
        <v>GX09</v>
      </c>
      <c r="C741" s="1" t="str">
        <f>MID(LEFT(Table1[[#This Row],[Item]], FIND("{token}", SUBSTITUTE(Table1[[#This Row],[Item]], "-", "{token}", 2)) - 1), FIND("-", Table1[[#This Row],[Item]]) + 1, LEN(Table1[[#This Row],[Item]]))</f>
        <v>R</v>
      </c>
      <c r="D74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4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41" s="1" cm="1">
        <f t="array" ref="F741">VALUE(INDEX(_xlfn.TEXTSPLIT(Table1[[#This Row],[Item]], "-"), 5))</f>
        <v>0</v>
      </c>
      <c r="G741" s="1" cm="1">
        <f t="array" ref="G741">VALUE(INDEX(_xlfn.TEXTSPLIT(Table1[[#This Row],[Item]], "-"), 6))</f>
        <v>2</v>
      </c>
      <c r="H741" s="1" cm="1">
        <f t="array" ref="H741">VALUE(INDEX(_xlfn.TEXTSPLIT(Table1[[#This Row],[Item]], "-"), 7))</f>
        <v>0</v>
      </c>
      <c r="I74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41" s="1" t="str">
        <f>LEFT(RIGHT(Table1[[#This Row],[Item]],6),1)</f>
        <v>N</v>
      </c>
      <c r="K741" s="1" t="str">
        <f t="shared" si="13"/>
        <v>N</v>
      </c>
      <c r="L741" s="1" t="str">
        <f>RIGHT(Table1[[#This Row],[Item]],2)</f>
        <v>DG</v>
      </c>
      <c r="M741" s="1" t="s">
        <v>33</v>
      </c>
      <c r="N741" s="3" t="s">
        <v>760</v>
      </c>
      <c r="O741" s="1"/>
    </row>
    <row r="742" spans="1:15" ht="15" customHeight="1">
      <c r="A742" t="s">
        <v>763</v>
      </c>
      <c r="B742" s="1" t="str">
        <f>LEFT(Table1[[#This Row],[Item]], FIND("-", Table1[[#This Row],[Item]]) - 1)</f>
        <v>GX09</v>
      </c>
      <c r="C742" s="1" t="str">
        <f>MID(LEFT(Table1[[#This Row],[Item]], FIND("{token}", SUBSTITUTE(Table1[[#This Row],[Item]], "-", "{token}", 2)) - 1), FIND("-", Table1[[#This Row],[Item]]) + 1, LEN(Table1[[#This Row],[Item]]))</f>
        <v>R</v>
      </c>
      <c r="D742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4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42" s="1" cm="1">
        <f t="array" ref="F742">VALUE(INDEX(_xlfn.TEXTSPLIT(Table1[[#This Row],[Item]], "-"), 5))</f>
        <v>1</v>
      </c>
      <c r="G742" s="1" cm="1">
        <f t="array" ref="G742">VALUE(INDEX(_xlfn.TEXTSPLIT(Table1[[#This Row],[Item]], "-"), 6))</f>
        <v>0</v>
      </c>
      <c r="H742" s="1" cm="1">
        <f t="array" ref="H742">VALUE(INDEX(_xlfn.TEXTSPLIT(Table1[[#This Row],[Item]], "-"), 7))</f>
        <v>0</v>
      </c>
      <c r="I74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42" s="1" t="str">
        <f>LEFT(RIGHT(Table1[[#This Row],[Item]],6),1)</f>
        <v>N</v>
      </c>
      <c r="K742" s="1" t="str">
        <f t="shared" si="13"/>
        <v>N</v>
      </c>
      <c r="L742" s="1" t="str">
        <f>RIGHT(Table1[[#This Row],[Item]],2)</f>
        <v>DG</v>
      </c>
      <c r="M742" s="1" t="s">
        <v>33</v>
      </c>
      <c r="N742" s="3" t="s">
        <v>763</v>
      </c>
      <c r="O742" s="1"/>
    </row>
    <row r="743" spans="1:15" ht="15" customHeight="1">
      <c r="A743" t="s">
        <v>764</v>
      </c>
      <c r="B743" s="1" t="str">
        <f>LEFT(Table1[[#This Row],[Item]], FIND("-", Table1[[#This Row],[Item]]) - 1)</f>
        <v>GX09</v>
      </c>
      <c r="C743" s="1" t="str">
        <f>MID(LEFT(Table1[[#This Row],[Item]], FIND("{token}", SUBSTITUTE(Table1[[#This Row],[Item]], "-", "{token}", 2)) - 1), FIND("-", Table1[[#This Row],[Item]]) + 1, LEN(Table1[[#This Row],[Item]]))</f>
        <v>R</v>
      </c>
      <c r="D74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4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43" s="1" cm="1">
        <f t="array" ref="F743">VALUE(INDEX(_xlfn.TEXTSPLIT(Table1[[#This Row],[Item]], "-"), 5))</f>
        <v>1</v>
      </c>
      <c r="G743" s="1" cm="1">
        <f t="array" ref="G743">VALUE(INDEX(_xlfn.TEXTSPLIT(Table1[[#This Row],[Item]], "-"), 6))</f>
        <v>1</v>
      </c>
      <c r="H743" s="1" cm="1">
        <f t="array" ref="H743">VALUE(INDEX(_xlfn.TEXTSPLIT(Table1[[#This Row],[Item]], "-"), 7))</f>
        <v>0</v>
      </c>
      <c r="I74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43" s="1" t="str">
        <f>LEFT(RIGHT(Table1[[#This Row],[Item]],6),1)</f>
        <v>N</v>
      </c>
      <c r="K743" s="1" t="str">
        <f t="shared" si="13"/>
        <v>N</v>
      </c>
      <c r="L743" s="1" t="str">
        <f>RIGHT(Table1[[#This Row],[Item]],2)</f>
        <v>DG</v>
      </c>
      <c r="M743" s="1" t="s">
        <v>33</v>
      </c>
      <c r="N743" s="3" t="s">
        <v>764</v>
      </c>
      <c r="O743" s="1"/>
    </row>
    <row r="744" spans="1:15" ht="15" customHeight="1">
      <c r="A744" t="s">
        <v>765</v>
      </c>
      <c r="B744" s="1" t="str">
        <f>LEFT(Table1[[#This Row],[Item]], FIND("-", Table1[[#This Row],[Item]]) - 1)</f>
        <v>GX09</v>
      </c>
      <c r="C744" s="1" t="str">
        <f>MID(LEFT(Table1[[#This Row],[Item]], FIND("{token}", SUBSTITUTE(Table1[[#This Row],[Item]], "-", "{token}", 2)) - 1), FIND("-", Table1[[#This Row],[Item]]) + 1, LEN(Table1[[#This Row],[Item]]))</f>
        <v>R</v>
      </c>
      <c r="D744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4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44" s="1" cm="1">
        <f t="array" ref="F744">VALUE(INDEX(_xlfn.TEXTSPLIT(Table1[[#This Row],[Item]], "-"), 5))</f>
        <v>1</v>
      </c>
      <c r="G744" s="1" cm="1">
        <f t="array" ref="G744">VALUE(INDEX(_xlfn.TEXTSPLIT(Table1[[#This Row],[Item]], "-"), 6))</f>
        <v>2</v>
      </c>
      <c r="H744" s="1" cm="1">
        <f t="array" ref="H744">VALUE(INDEX(_xlfn.TEXTSPLIT(Table1[[#This Row],[Item]], "-"), 7))</f>
        <v>0</v>
      </c>
      <c r="I74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44" s="1" t="str">
        <f>LEFT(RIGHT(Table1[[#This Row],[Item]],6),1)</f>
        <v>N</v>
      </c>
      <c r="K744" s="1" t="str">
        <f t="shared" si="13"/>
        <v>N</v>
      </c>
      <c r="L744" s="1" t="str">
        <f>RIGHT(Table1[[#This Row],[Item]],2)</f>
        <v>DG</v>
      </c>
      <c r="M744" s="1" t="s">
        <v>33</v>
      </c>
      <c r="N744" s="3" t="s">
        <v>765</v>
      </c>
      <c r="O744" s="1"/>
    </row>
    <row r="745" spans="1:15" ht="15" customHeight="1">
      <c r="A745" t="s">
        <v>766</v>
      </c>
      <c r="B745" s="1" t="str">
        <f>LEFT(Table1[[#This Row],[Item]], FIND("-", Table1[[#This Row],[Item]]) - 1)</f>
        <v>GX09</v>
      </c>
      <c r="C745" s="1" t="str">
        <f>MID(LEFT(Table1[[#This Row],[Item]], FIND("{token}", SUBSTITUTE(Table1[[#This Row],[Item]], "-", "{token}", 2)) - 1), FIND("-", Table1[[#This Row],[Item]]) + 1, LEN(Table1[[#This Row],[Item]]))</f>
        <v>R</v>
      </c>
      <c r="D74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4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745" s="1" cm="1">
        <f t="array" ref="F745">VALUE(INDEX(_xlfn.TEXTSPLIT(Table1[[#This Row],[Item]], "-"), 5))</f>
        <v>0</v>
      </c>
      <c r="G745" s="1" cm="1">
        <f t="array" ref="G745">VALUE(INDEX(_xlfn.TEXTSPLIT(Table1[[#This Row],[Item]], "-"), 6))</f>
        <v>1</v>
      </c>
      <c r="H745" s="1" cm="1">
        <f t="array" ref="H745">VALUE(INDEX(_xlfn.TEXTSPLIT(Table1[[#This Row],[Item]], "-"), 7))</f>
        <v>1</v>
      </c>
      <c r="I74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45" s="1" t="str">
        <f>LEFT(RIGHT(Table1[[#This Row],[Item]],6),1)</f>
        <v>N</v>
      </c>
      <c r="K745" s="1" t="str">
        <f t="shared" si="13"/>
        <v>N</v>
      </c>
      <c r="L745" s="1" t="str">
        <f>RIGHT(Table1[[#This Row],[Item]],2)</f>
        <v>DG</v>
      </c>
      <c r="M745" s="1" t="s">
        <v>33</v>
      </c>
      <c r="N745" s="3" t="s">
        <v>766</v>
      </c>
      <c r="O745" s="1"/>
    </row>
    <row r="746" spans="1:15" ht="15" customHeight="1">
      <c r="A746" t="s">
        <v>760</v>
      </c>
      <c r="B746" s="1" t="str">
        <f>LEFT(Table1[[#This Row],[Item]], FIND("-", Table1[[#This Row],[Item]]) - 1)</f>
        <v>GX09</v>
      </c>
      <c r="C746" s="1" t="str">
        <f>MID(LEFT(Table1[[#This Row],[Item]], FIND("{token}", SUBSTITUTE(Table1[[#This Row],[Item]], "-", "{token}", 2)) - 1), FIND("-", Table1[[#This Row],[Item]]) + 1, LEN(Table1[[#This Row],[Item]]))</f>
        <v>R</v>
      </c>
      <c r="D74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4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46" s="1" cm="1">
        <f t="array" ref="F746">VALUE(INDEX(_xlfn.TEXTSPLIT(Table1[[#This Row],[Item]], "-"), 5))</f>
        <v>0</v>
      </c>
      <c r="G746" s="1" cm="1">
        <f t="array" ref="G746">VALUE(INDEX(_xlfn.TEXTSPLIT(Table1[[#This Row],[Item]], "-"), 6))</f>
        <v>0</v>
      </c>
      <c r="H746" s="1" cm="1">
        <f t="array" ref="H746">VALUE(INDEX(_xlfn.TEXTSPLIT(Table1[[#This Row],[Item]], "-"), 7))</f>
        <v>0</v>
      </c>
      <c r="I74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46" s="1" t="str">
        <f>LEFT(RIGHT(Table1[[#This Row],[Item]],6),1)</f>
        <v>N</v>
      </c>
      <c r="K746" s="1" t="str">
        <f t="shared" si="13"/>
        <v>N</v>
      </c>
      <c r="L746" s="1" t="str">
        <f>RIGHT(Table1[[#This Row],[Item]],2)</f>
        <v>DG</v>
      </c>
      <c r="M746" s="1" t="s">
        <v>33</v>
      </c>
      <c r="N746" s="3" t="s">
        <v>760</v>
      </c>
      <c r="O746" s="1"/>
    </row>
    <row r="747" spans="1:15" ht="15" customHeight="1">
      <c r="A747" t="s">
        <v>767</v>
      </c>
      <c r="B747" s="1" t="str">
        <f>LEFT(Table1[[#This Row],[Item]], FIND("-", Table1[[#This Row],[Item]]) - 1)</f>
        <v>GX09</v>
      </c>
      <c r="C747" s="1" t="str">
        <f>MID(LEFT(Table1[[#This Row],[Item]], FIND("{token}", SUBSTITUTE(Table1[[#This Row],[Item]], "-", "{token}", 2)) - 1), FIND("-", Table1[[#This Row],[Item]]) + 1, LEN(Table1[[#This Row],[Item]]))</f>
        <v>R</v>
      </c>
      <c r="D74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4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47" s="1" cm="1">
        <f t="array" ref="F747">VALUE(INDEX(_xlfn.TEXTSPLIT(Table1[[#This Row],[Item]], "-"), 5))</f>
        <v>0</v>
      </c>
      <c r="G747" s="1" cm="1">
        <f t="array" ref="G747">VALUE(INDEX(_xlfn.TEXTSPLIT(Table1[[#This Row],[Item]], "-"), 6))</f>
        <v>1</v>
      </c>
      <c r="H747" s="1" cm="1">
        <f t="array" ref="H747">VALUE(INDEX(_xlfn.TEXTSPLIT(Table1[[#This Row],[Item]], "-"), 7))</f>
        <v>0</v>
      </c>
      <c r="I74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47" s="1" t="str">
        <f>LEFT(RIGHT(Table1[[#This Row],[Item]],6),1)</f>
        <v>N</v>
      </c>
      <c r="K747" s="1" t="str">
        <f t="shared" si="13"/>
        <v>N</v>
      </c>
      <c r="L747" s="1" t="str">
        <f>RIGHT(Table1[[#This Row],[Item]],2)</f>
        <v>DG</v>
      </c>
      <c r="M747" s="1" t="s">
        <v>33</v>
      </c>
      <c r="N747" s="3" t="s">
        <v>760</v>
      </c>
      <c r="O747" s="1"/>
    </row>
    <row r="748" spans="1:15" ht="15" customHeight="1">
      <c r="A748" t="s">
        <v>768</v>
      </c>
      <c r="B748" s="1" t="str">
        <f>LEFT(Table1[[#This Row],[Item]], FIND("-", Table1[[#This Row],[Item]]) - 1)</f>
        <v>GX09</v>
      </c>
      <c r="C748" s="1" t="str">
        <f>MID(LEFT(Table1[[#This Row],[Item]], FIND("{token}", SUBSTITUTE(Table1[[#This Row],[Item]], "-", "{token}", 2)) - 1), FIND("-", Table1[[#This Row],[Item]]) + 1, LEN(Table1[[#This Row],[Item]]))</f>
        <v>R</v>
      </c>
      <c r="D74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4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48" s="1" cm="1">
        <f t="array" ref="F748">VALUE(INDEX(_xlfn.TEXTSPLIT(Table1[[#This Row],[Item]], "-"), 5))</f>
        <v>0</v>
      </c>
      <c r="G748" s="1" cm="1">
        <f t="array" ref="G748">VALUE(INDEX(_xlfn.TEXTSPLIT(Table1[[#This Row],[Item]], "-"), 6))</f>
        <v>2</v>
      </c>
      <c r="H748" s="1" cm="1">
        <f t="array" ref="H748">VALUE(INDEX(_xlfn.TEXTSPLIT(Table1[[#This Row],[Item]], "-"), 7))</f>
        <v>0</v>
      </c>
      <c r="I74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48" s="1" t="str">
        <f>LEFT(RIGHT(Table1[[#This Row],[Item]],6),1)</f>
        <v>N</v>
      </c>
      <c r="K748" s="1" t="str">
        <f t="shared" si="13"/>
        <v>N</v>
      </c>
      <c r="L748" s="1" t="str">
        <f>RIGHT(Table1[[#This Row],[Item]],2)</f>
        <v>DG</v>
      </c>
      <c r="M748" s="1" t="s">
        <v>33</v>
      </c>
      <c r="N748" s="3" t="s">
        <v>760</v>
      </c>
      <c r="O748" s="1"/>
    </row>
    <row r="749" spans="1:15" ht="15" customHeight="1">
      <c r="A749" t="s">
        <v>769</v>
      </c>
      <c r="B749" s="1" t="str">
        <f>LEFT(Table1[[#This Row],[Item]], FIND("-", Table1[[#This Row],[Item]]) - 1)</f>
        <v>GX09</v>
      </c>
      <c r="C749" s="1" t="str">
        <f>MID(LEFT(Table1[[#This Row],[Item]], FIND("{token}", SUBSTITUTE(Table1[[#This Row],[Item]], "-", "{token}", 2)) - 1), FIND("-", Table1[[#This Row],[Item]]) + 1, LEN(Table1[[#This Row],[Item]]))</f>
        <v>R</v>
      </c>
      <c r="D74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4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49" s="1" cm="1">
        <f t="array" ref="F749">VALUE(INDEX(_xlfn.TEXTSPLIT(Table1[[#This Row],[Item]], "-"), 5))</f>
        <v>1</v>
      </c>
      <c r="G749" s="1" cm="1">
        <f t="array" ref="G749">VALUE(INDEX(_xlfn.TEXTSPLIT(Table1[[#This Row],[Item]], "-"), 6))</f>
        <v>0</v>
      </c>
      <c r="H749" s="1" cm="1">
        <f t="array" ref="H749">VALUE(INDEX(_xlfn.TEXTSPLIT(Table1[[#This Row],[Item]], "-"), 7))</f>
        <v>0</v>
      </c>
      <c r="I74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49" s="1" t="str">
        <f>LEFT(RIGHT(Table1[[#This Row],[Item]],6),1)</f>
        <v>N</v>
      </c>
      <c r="K749" s="1" t="str">
        <f t="shared" si="13"/>
        <v>N</v>
      </c>
      <c r="L749" s="1" t="str">
        <f>RIGHT(Table1[[#This Row],[Item]],2)</f>
        <v>DG</v>
      </c>
      <c r="M749" s="1" t="s">
        <v>33</v>
      </c>
      <c r="N749" s="3" t="s">
        <v>769</v>
      </c>
      <c r="O749" s="1"/>
    </row>
    <row r="750" spans="1:15" ht="15" customHeight="1">
      <c r="A750" t="s">
        <v>770</v>
      </c>
      <c r="B750" s="1" t="str">
        <f>LEFT(Table1[[#This Row],[Item]], FIND("-", Table1[[#This Row],[Item]]) - 1)</f>
        <v>GX09</v>
      </c>
      <c r="C750" s="1" t="str">
        <f>MID(LEFT(Table1[[#This Row],[Item]], FIND("{token}", SUBSTITUTE(Table1[[#This Row],[Item]], "-", "{token}", 2)) - 1), FIND("-", Table1[[#This Row],[Item]]) + 1, LEN(Table1[[#This Row],[Item]]))</f>
        <v>R</v>
      </c>
      <c r="D75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5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50" s="1" cm="1">
        <f t="array" ref="F750">VALUE(INDEX(_xlfn.TEXTSPLIT(Table1[[#This Row],[Item]], "-"), 5))</f>
        <v>1</v>
      </c>
      <c r="G750" s="1" cm="1">
        <f t="array" ref="G750">VALUE(INDEX(_xlfn.TEXTSPLIT(Table1[[#This Row],[Item]], "-"), 6))</f>
        <v>1</v>
      </c>
      <c r="H750" s="1" cm="1">
        <f t="array" ref="H750">VALUE(INDEX(_xlfn.TEXTSPLIT(Table1[[#This Row],[Item]], "-"), 7))</f>
        <v>0</v>
      </c>
      <c r="I75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50" s="1" t="str">
        <f>LEFT(RIGHT(Table1[[#This Row],[Item]],6),1)</f>
        <v>N</v>
      </c>
      <c r="K750" s="1" t="str">
        <f t="shared" si="13"/>
        <v>N</v>
      </c>
      <c r="L750" s="1" t="str">
        <f>RIGHT(Table1[[#This Row],[Item]],2)</f>
        <v>DG</v>
      </c>
      <c r="M750" s="1" t="s">
        <v>33</v>
      </c>
      <c r="N750" s="3" t="s">
        <v>770</v>
      </c>
      <c r="O750" s="1"/>
    </row>
    <row r="751" spans="1:15" ht="15" customHeight="1">
      <c r="A751" t="s">
        <v>771</v>
      </c>
      <c r="B751" s="1" t="str">
        <f>LEFT(Table1[[#This Row],[Item]], FIND("-", Table1[[#This Row],[Item]]) - 1)</f>
        <v>GX09</v>
      </c>
      <c r="C751" s="1" t="str">
        <f>MID(LEFT(Table1[[#This Row],[Item]], FIND("{token}", SUBSTITUTE(Table1[[#This Row],[Item]], "-", "{token}", 2)) - 1), FIND("-", Table1[[#This Row],[Item]]) + 1, LEN(Table1[[#This Row],[Item]]))</f>
        <v>R</v>
      </c>
      <c r="D75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5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51" s="1" cm="1">
        <f t="array" ref="F751">VALUE(INDEX(_xlfn.TEXTSPLIT(Table1[[#This Row],[Item]], "-"), 5))</f>
        <v>1</v>
      </c>
      <c r="G751" s="1" cm="1">
        <f t="array" ref="G751">VALUE(INDEX(_xlfn.TEXTSPLIT(Table1[[#This Row],[Item]], "-"), 6))</f>
        <v>2</v>
      </c>
      <c r="H751" s="1" cm="1">
        <f t="array" ref="H751">VALUE(INDEX(_xlfn.TEXTSPLIT(Table1[[#This Row],[Item]], "-"), 7))</f>
        <v>0</v>
      </c>
      <c r="I75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51" s="1" t="str">
        <f>LEFT(RIGHT(Table1[[#This Row],[Item]],6),1)</f>
        <v>N</v>
      </c>
      <c r="K751" s="1" t="str">
        <f t="shared" si="13"/>
        <v>N</v>
      </c>
      <c r="L751" s="1" t="str">
        <f>RIGHT(Table1[[#This Row],[Item]],2)</f>
        <v>DG</v>
      </c>
      <c r="M751" s="1" t="s">
        <v>33</v>
      </c>
      <c r="N751" s="3" t="s">
        <v>771</v>
      </c>
      <c r="O751" s="1"/>
    </row>
    <row r="752" spans="1:15" ht="15" customHeight="1">
      <c r="A752" t="s">
        <v>772</v>
      </c>
      <c r="B752" s="1" t="str">
        <f>LEFT(Table1[[#This Row],[Item]], FIND("-", Table1[[#This Row],[Item]]) - 1)</f>
        <v>GX09</v>
      </c>
      <c r="C752" s="1" t="str">
        <f>MID(LEFT(Table1[[#This Row],[Item]], FIND("{token}", SUBSTITUTE(Table1[[#This Row],[Item]], "-", "{token}", 2)) - 1), FIND("-", Table1[[#This Row],[Item]]) + 1, LEN(Table1[[#This Row],[Item]]))</f>
        <v>RXL</v>
      </c>
      <c r="D75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5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752" s="1" cm="1">
        <f t="array" ref="F752">VALUE(INDEX(_xlfn.TEXTSPLIT(Table1[[#This Row],[Item]], "-"), 5))</f>
        <v>0</v>
      </c>
      <c r="G752" s="1" cm="1">
        <f t="array" ref="G752">VALUE(INDEX(_xlfn.TEXTSPLIT(Table1[[#This Row],[Item]], "-"), 6))</f>
        <v>0</v>
      </c>
      <c r="H752" s="1" cm="1">
        <f t="array" ref="H752">VALUE(INDEX(_xlfn.TEXTSPLIT(Table1[[#This Row],[Item]], "-"), 7))</f>
        <v>1</v>
      </c>
      <c r="I75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52" s="1" t="str">
        <f>LEFT(RIGHT(Table1[[#This Row],[Item]],6),1)</f>
        <v>N</v>
      </c>
      <c r="K752" s="1" t="str">
        <f t="shared" si="13"/>
        <v>N</v>
      </c>
      <c r="L752" s="1" t="str">
        <f>RIGHT(Table1[[#This Row],[Item]],2)</f>
        <v>DG</v>
      </c>
      <c r="M752" s="1" t="s">
        <v>33</v>
      </c>
      <c r="N752" s="3" t="s">
        <v>772</v>
      </c>
      <c r="O752" s="1"/>
    </row>
    <row r="753" spans="1:15" ht="15" customHeight="1">
      <c r="A753" t="s">
        <v>773</v>
      </c>
      <c r="B753" s="1" t="str">
        <f>LEFT(Table1[[#This Row],[Item]], FIND("-", Table1[[#This Row],[Item]]) - 1)</f>
        <v>GX09</v>
      </c>
      <c r="C753" s="1" t="str">
        <f>MID(LEFT(Table1[[#This Row],[Item]], FIND("{token}", SUBSTITUTE(Table1[[#This Row],[Item]], "-", "{token}", 2)) - 1), FIND("-", Table1[[#This Row],[Item]]) + 1, LEN(Table1[[#This Row],[Item]]))</f>
        <v>RXL</v>
      </c>
      <c r="D75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5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53" s="1" cm="1">
        <f t="array" ref="F753">VALUE(INDEX(_xlfn.TEXTSPLIT(Table1[[#This Row],[Item]], "-"), 5))</f>
        <v>0</v>
      </c>
      <c r="G753" s="1" cm="1">
        <f t="array" ref="G753">VALUE(INDEX(_xlfn.TEXTSPLIT(Table1[[#This Row],[Item]], "-"), 6))</f>
        <v>2</v>
      </c>
      <c r="H753" s="1" cm="1">
        <f t="array" ref="H753">VALUE(INDEX(_xlfn.TEXTSPLIT(Table1[[#This Row],[Item]], "-"), 7))</f>
        <v>0</v>
      </c>
      <c r="I75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53" s="1" t="str">
        <f>LEFT(RIGHT(Table1[[#This Row],[Item]],6),1)</f>
        <v>N</v>
      </c>
      <c r="K753" s="1" t="str">
        <f t="shared" si="13"/>
        <v>N</v>
      </c>
      <c r="L753" s="1" t="str">
        <f>RIGHT(Table1[[#This Row],[Item]],2)</f>
        <v>DG</v>
      </c>
      <c r="M753" s="1" t="s">
        <v>33</v>
      </c>
      <c r="N753" s="3" t="s">
        <v>773</v>
      </c>
      <c r="O753" s="1"/>
    </row>
    <row r="754" spans="1:15" ht="15" customHeight="1">
      <c r="A754" t="s">
        <v>774</v>
      </c>
      <c r="B754" s="1" t="str">
        <f>LEFT(Table1[[#This Row],[Item]], FIND("-", Table1[[#This Row],[Item]]) - 1)</f>
        <v>GX09</v>
      </c>
      <c r="C754" s="1" t="str">
        <f>MID(LEFT(Table1[[#This Row],[Item]], FIND("{token}", SUBSTITUTE(Table1[[#This Row],[Item]], "-", "{token}", 2)) - 1), FIND("-", Table1[[#This Row],[Item]]) + 1, LEN(Table1[[#This Row],[Item]]))</f>
        <v>RXL</v>
      </c>
      <c r="D754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75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754" s="1" cm="1">
        <f t="array" ref="F754">VALUE(INDEX(_xlfn.TEXTSPLIT(Table1[[#This Row],[Item]], "-"), 5))</f>
        <v>1</v>
      </c>
      <c r="G754" s="1" cm="1">
        <f t="array" ref="G754">VALUE(INDEX(_xlfn.TEXTSPLIT(Table1[[#This Row],[Item]], "-"), 6))</f>
        <v>1</v>
      </c>
      <c r="H754" s="1" cm="1">
        <f t="array" ref="H754">VALUE(INDEX(_xlfn.TEXTSPLIT(Table1[[#This Row],[Item]], "-"), 7))</f>
        <v>1</v>
      </c>
      <c r="I75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54" s="1" t="str">
        <f>LEFT(RIGHT(Table1[[#This Row],[Item]],6),1)</f>
        <v>N</v>
      </c>
      <c r="K754" s="1" t="str">
        <f t="shared" si="13"/>
        <v>N</v>
      </c>
      <c r="L754" s="1" t="str">
        <f>RIGHT(Table1[[#This Row],[Item]],2)</f>
        <v>DG</v>
      </c>
      <c r="M754" s="1" t="s">
        <v>33</v>
      </c>
      <c r="N754" s="3" t="s">
        <v>774</v>
      </c>
      <c r="O754" s="1"/>
    </row>
    <row r="755" spans="1:15" ht="15" customHeight="1">
      <c r="A755" t="s">
        <v>775</v>
      </c>
      <c r="B755" s="1" t="str">
        <f>LEFT(Table1[[#This Row],[Item]], FIND("-", Table1[[#This Row],[Item]]) - 1)</f>
        <v>GX09</v>
      </c>
      <c r="C755" s="1" t="str">
        <f>MID(LEFT(Table1[[#This Row],[Item]], FIND("{token}", SUBSTITUTE(Table1[[#This Row],[Item]], "-", "{token}", 2)) - 1), FIND("-", Table1[[#This Row],[Item]]) + 1, LEN(Table1[[#This Row],[Item]]))</f>
        <v>RXL</v>
      </c>
      <c r="D755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75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755" s="1" cm="1">
        <f t="array" ref="F755">VALUE(INDEX(_xlfn.TEXTSPLIT(Table1[[#This Row],[Item]], "-"), 5))</f>
        <v>1</v>
      </c>
      <c r="G755" s="1" cm="1">
        <f t="array" ref="G755">VALUE(INDEX(_xlfn.TEXTSPLIT(Table1[[#This Row],[Item]], "-"), 6))</f>
        <v>2</v>
      </c>
      <c r="H755" s="1" cm="1">
        <f t="array" ref="H755">VALUE(INDEX(_xlfn.TEXTSPLIT(Table1[[#This Row],[Item]], "-"), 7))</f>
        <v>1</v>
      </c>
      <c r="I75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55" s="1" t="str">
        <f>LEFT(RIGHT(Table1[[#This Row],[Item]],6),1)</f>
        <v>N</v>
      </c>
      <c r="K755" s="1" t="str">
        <f t="shared" si="13"/>
        <v>N</v>
      </c>
      <c r="L755" s="1" t="str">
        <f>RIGHT(Table1[[#This Row],[Item]],2)</f>
        <v>DG</v>
      </c>
      <c r="M755" s="1" t="s">
        <v>33</v>
      </c>
      <c r="N755" s="3" t="s">
        <v>775</v>
      </c>
      <c r="O755" s="1"/>
    </row>
    <row r="756" spans="1:15" ht="15" customHeight="1">
      <c r="A756" t="s">
        <v>776</v>
      </c>
      <c r="B756" s="1" t="str">
        <f>LEFT(Table1[[#This Row],[Item]], FIND("-", Table1[[#This Row],[Item]]) - 1)</f>
        <v>GX09</v>
      </c>
      <c r="C756" s="1" t="str">
        <f>MID(LEFT(Table1[[#This Row],[Item]], FIND("{token}", SUBSTITUTE(Table1[[#This Row],[Item]], "-", "{token}", 2)) - 1), FIND("-", Table1[[#This Row],[Item]]) + 1, LEN(Table1[[#This Row],[Item]]))</f>
        <v>RXL</v>
      </c>
      <c r="D756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75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56" s="1" cm="1">
        <f t="array" ref="F756">VALUE(INDEX(_xlfn.TEXTSPLIT(Table1[[#This Row],[Item]], "-"), 5))</f>
        <v>1</v>
      </c>
      <c r="G756" s="1" cm="1">
        <f t="array" ref="G756">VALUE(INDEX(_xlfn.TEXTSPLIT(Table1[[#This Row],[Item]], "-"), 6))</f>
        <v>2</v>
      </c>
      <c r="H756" s="1" cm="1">
        <f t="array" ref="H756">VALUE(INDEX(_xlfn.TEXTSPLIT(Table1[[#This Row],[Item]], "-"), 7))</f>
        <v>0</v>
      </c>
      <c r="I75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56" s="1" t="str">
        <f>LEFT(RIGHT(Table1[[#This Row],[Item]],6),1)</f>
        <v>N</v>
      </c>
      <c r="K756" s="1" t="str">
        <f t="shared" si="13"/>
        <v>N</v>
      </c>
      <c r="L756" s="1" t="str">
        <f>RIGHT(Table1[[#This Row],[Item]],2)</f>
        <v>DG</v>
      </c>
      <c r="M756" s="1" t="s">
        <v>33</v>
      </c>
      <c r="N756" s="3" t="s">
        <v>776</v>
      </c>
      <c r="O756" s="1"/>
    </row>
    <row r="757" spans="1:15" ht="15" customHeight="1">
      <c r="A757" t="s">
        <v>777</v>
      </c>
      <c r="B757" s="1" t="str">
        <f>LEFT(Table1[[#This Row],[Item]], FIND("-", Table1[[#This Row],[Item]]) - 1)</f>
        <v>GX10</v>
      </c>
      <c r="C757" s="1" t="str">
        <f>MID(LEFT(Table1[[#This Row],[Item]], FIND("{token}", SUBSTITUTE(Table1[[#This Row],[Item]], "-", "{token}", 2)) - 1), FIND("-", Table1[[#This Row],[Item]]) + 1, LEN(Table1[[#This Row],[Item]]))</f>
        <v>C</v>
      </c>
      <c r="D75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5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57" s="1" cm="1">
        <f t="array" ref="F757">VALUE(INDEX(_xlfn.TEXTSPLIT(Table1[[#This Row],[Item]], "-"), 5))</f>
        <v>1</v>
      </c>
      <c r="G757" s="1" cm="1">
        <f t="array" ref="G757">VALUE(INDEX(_xlfn.TEXTSPLIT(Table1[[#This Row],[Item]], "-"), 6))</f>
        <v>2</v>
      </c>
      <c r="H757" s="1" cm="1">
        <f t="array" ref="H757">VALUE(INDEX(_xlfn.TEXTSPLIT(Table1[[#This Row],[Item]], "-"), 7))</f>
        <v>0</v>
      </c>
      <c r="I75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57" s="1" t="str">
        <f>LEFT(RIGHT(Table1[[#This Row],[Item]],6),1)</f>
        <v>N</v>
      </c>
      <c r="K757" s="1" t="str">
        <f t="shared" si="13"/>
        <v>N</v>
      </c>
      <c r="L757" s="1" t="str">
        <f>RIGHT(Table1[[#This Row],[Item]],2)</f>
        <v>DG</v>
      </c>
      <c r="M757" s="1" t="s">
        <v>33</v>
      </c>
      <c r="N757" s="3" t="s">
        <v>777</v>
      </c>
      <c r="O757" s="1"/>
    </row>
    <row r="758" spans="1:15" ht="15" customHeight="1">
      <c r="A758" t="s">
        <v>778</v>
      </c>
      <c r="B758" s="1" t="str">
        <f>LEFT(Table1[[#This Row],[Item]], FIND("-", Table1[[#This Row],[Item]]) - 1)</f>
        <v>GX10</v>
      </c>
      <c r="C758" s="1" t="str">
        <f>MID(LEFT(Table1[[#This Row],[Item]], FIND("{token}", SUBSTITUTE(Table1[[#This Row],[Item]], "-", "{token}", 2)) - 1), FIND("-", Table1[[#This Row],[Item]]) + 1, LEN(Table1[[#This Row],[Item]]))</f>
        <v>C</v>
      </c>
      <c r="D758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75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758" s="1" cm="1">
        <f t="array" ref="F758">VALUE(INDEX(_xlfn.TEXTSPLIT(Table1[[#This Row],[Item]], "-"), 5))</f>
        <v>1</v>
      </c>
      <c r="G758" s="1" cm="1">
        <f t="array" ref="G758">VALUE(INDEX(_xlfn.TEXTSPLIT(Table1[[#This Row],[Item]], "-"), 6))</f>
        <v>1</v>
      </c>
      <c r="H758" s="1" cm="1">
        <f t="array" ref="H758">VALUE(INDEX(_xlfn.TEXTSPLIT(Table1[[#This Row],[Item]], "-"), 7))</f>
        <v>1</v>
      </c>
      <c r="I75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58" s="1" t="str">
        <f>LEFT(RIGHT(Table1[[#This Row],[Item]],6),1)</f>
        <v>N</v>
      </c>
      <c r="K758" s="1" t="str">
        <f t="shared" si="13"/>
        <v>N</v>
      </c>
      <c r="L758" s="1" t="str">
        <f>RIGHT(Table1[[#This Row],[Item]],2)</f>
        <v>DG</v>
      </c>
      <c r="M758" s="1" t="s">
        <v>33</v>
      </c>
      <c r="N758" s="3" t="s">
        <v>778</v>
      </c>
      <c r="O758" s="1"/>
    </row>
    <row r="759" spans="1:15" ht="15" customHeight="1">
      <c r="A759" t="s">
        <v>779</v>
      </c>
      <c r="B759" s="1" t="str">
        <f>LEFT(Table1[[#This Row],[Item]], FIND("-", Table1[[#This Row],[Item]]) - 1)</f>
        <v>GX10</v>
      </c>
      <c r="C759" s="1" t="str">
        <f>MID(LEFT(Table1[[#This Row],[Item]], FIND("{token}", SUBSTITUTE(Table1[[#This Row],[Item]], "-", "{token}", 2)) - 1), FIND("-", Table1[[#This Row],[Item]]) + 1, LEN(Table1[[#This Row],[Item]]))</f>
        <v>C</v>
      </c>
      <c r="D759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75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59" s="1" cm="1">
        <f t="array" ref="F759">VALUE(INDEX(_xlfn.TEXTSPLIT(Table1[[#This Row],[Item]], "-"), 5))</f>
        <v>1</v>
      </c>
      <c r="G759" s="1" cm="1">
        <f t="array" ref="G759">VALUE(INDEX(_xlfn.TEXTSPLIT(Table1[[#This Row],[Item]], "-"), 6))</f>
        <v>0</v>
      </c>
      <c r="H759" s="1" cm="1">
        <f t="array" ref="H759">VALUE(INDEX(_xlfn.TEXTSPLIT(Table1[[#This Row],[Item]], "-"), 7))</f>
        <v>0</v>
      </c>
      <c r="I75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59" s="1" t="str">
        <f>LEFT(RIGHT(Table1[[#This Row],[Item]],6),1)</f>
        <v>N</v>
      </c>
      <c r="K759" s="1" t="str">
        <f t="shared" si="13"/>
        <v>N</v>
      </c>
      <c r="L759" s="1" t="str">
        <f>RIGHT(Table1[[#This Row],[Item]],2)</f>
        <v>DG</v>
      </c>
      <c r="M759" s="1" t="s">
        <v>33</v>
      </c>
      <c r="N759" s="3" t="s">
        <v>779</v>
      </c>
      <c r="O759" s="1"/>
    </row>
    <row r="760" spans="1:15" ht="15" customHeight="1">
      <c r="A760" t="s">
        <v>780</v>
      </c>
      <c r="B760" s="1" t="str">
        <f>LEFT(Table1[[#This Row],[Item]], FIND("-", Table1[[#This Row],[Item]]) - 1)</f>
        <v>GX10</v>
      </c>
      <c r="C760" s="1" t="str">
        <f>MID(LEFT(Table1[[#This Row],[Item]], FIND("{token}", SUBSTITUTE(Table1[[#This Row],[Item]], "-", "{token}", 2)) - 1), FIND("-", Table1[[#This Row],[Item]]) + 1, LEN(Table1[[#This Row],[Item]]))</f>
        <v>C</v>
      </c>
      <c r="D760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76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60" s="1" cm="1">
        <f t="array" ref="F760">VALUE(INDEX(_xlfn.TEXTSPLIT(Table1[[#This Row],[Item]], "-"), 5))</f>
        <v>1</v>
      </c>
      <c r="G760" s="1" cm="1">
        <f t="array" ref="G760">VALUE(INDEX(_xlfn.TEXTSPLIT(Table1[[#This Row],[Item]], "-"), 6))</f>
        <v>1</v>
      </c>
      <c r="H760" s="1" cm="1">
        <f t="array" ref="H760">VALUE(INDEX(_xlfn.TEXTSPLIT(Table1[[#This Row],[Item]], "-"), 7))</f>
        <v>0</v>
      </c>
      <c r="I76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60" s="1" t="str">
        <f>LEFT(RIGHT(Table1[[#This Row],[Item]],6),1)</f>
        <v>N</v>
      </c>
      <c r="K760" s="1" t="str">
        <f t="shared" si="13"/>
        <v>N</v>
      </c>
      <c r="L760" s="1" t="str">
        <f>RIGHT(Table1[[#This Row],[Item]],2)</f>
        <v>DG</v>
      </c>
      <c r="M760" s="1" t="s">
        <v>33</v>
      </c>
      <c r="N760" s="3" t="s">
        <v>780</v>
      </c>
      <c r="O760" s="1"/>
    </row>
    <row r="761" spans="1:15" ht="15" customHeight="1">
      <c r="A761" t="s">
        <v>781</v>
      </c>
      <c r="B761" s="1" t="str">
        <f>LEFT(Table1[[#This Row],[Item]], FIND("-", Table1[[#This Row],[Item]]) - 1)</f>
        <v>GX10</v>
      </c>
      <c r="C761" s="1" t="str">
        <f>MID(LEFT(Table1[[#This Row],[Item]], FIND("{token}", SUBSTITUTE(Table1[[#This Row],[Item]], "-", "{token}", 2)) - 1), FIND("-", Table1[[#This Row],[Item]]) + 1, LEN(Table1[[#This Row],[Item]]))</f>
        <v>C</v>
      </c>
      <c r="D761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76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61" s="1" cm="1">
        <f t="array" ref="F761">VALUE(INDEX(_xlfn.TEXTSPLIT(Table1[[#This Row],[Item]], "-"), 5))</f>
        <v>1</v>
      </c>
      <c r="G761" s="1" cm="1">
        <f t="array" ref="G761">VALUE(INDEX(_xlfn.TEXTSPLIT(Table1[[#This Row],[Item]], "-"), 6))</f>
        <v>2</v>
      </c>
      <c r="H761" s="1" cm="1">
        <f t="array" ref="H761">VALUE(INDEX(_xlfn.TEXTSPLIT(Table1[[#This Row],[Item]], "-"), 7))</f>
        <v>0</v>
      </c>
      <c r="I76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61" s="1" t="str">
        <f>LEFT(RIGHT(Table1[[#This Row],[Item]],6),1)</f>
        <v>N</v>
      </c>
      <c r="K761" s="1" t="str">
        <f t="shared" si="13"/>
        <v>N</v>
      </c>
      <c r="L761" s="1" t="str">
        <f>RIGHT(Table1[[#This Row],[Item]],2)</f>
        <v>DG</v>
      </c>
      <c r="M761" s="1" t="s">
        <v>33</v>
      </c>
      <c r="N761" s="3" t="s">
        <v>781</v>
      </c>
      <c r="O761" s="1"/>
    </row>
    <row r="762" spans="1:15" ht="15" customHeight="1">
      <c r="A762" t="s">
        <v>782</v>
      </c>
      <c r="B762" s="1" t="str">
        <f>LEFT(Table1[[#This Row],[Item]], FIND("-", Table1[[#This Row],[Item]]) - 1)</f>
        <v>GX10</v>
      </c>
      <c r="C762" s="1" t="str">
        <f>MID(LEFT(Table1[[#This Row],[Item]], FIND("{token}", SUBSTITUTE(Table1[[#This Row],[Item]], "-", "{token}", 2)) - 1), FIND("-", Table1[[#This Row],[Item]]) + 1, LEN(Table1[[#This Row],[Item]]))</f>
        <v>C</v>
      </c>
      <c r="D76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6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62" s="1" cm="1">
        <f t="array" ref="F762">VALUE(INDEX(_xlfn.TEXTSPLIT(Table1[[#This Row],[Item]], "-"), 5))</f>
        <v>1</v>
      </c>
      <c r="G762" s="1" cm="1">
        <f t="array" ref="G762">VALUE(INDEX(_xlfn.TEXTSPLIT(Table1[[#This Row],[Item]], "-"), 6))</f>
        <v>2</v>
      </c>
      <c r="H762" s="1" cm="1">
        <f t="array" ref="H762">VALUE(INDEX(_xlfn.TEXTSPLIT(Table1[[#This Row],[Item]], "-"), 7))</f>
        <v>0</v>
      </c>
      <c r="I76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62" s="1" t="str">
        <f>LEFT(RIGHT(Table1[[#This Row],[Item]],6),1)</f>
        <v>N</v>
      </c>
      <c r="K762" s="1" t="str">
        <f t="shared" si="13"/>
        <v>N</v>
      </c>
      <c r="L762" s="1" t="str">
        <f>RIGHT(Table1[[#This Row],[Item]],2)</f>
        <v>DG</v>
      </c>
      <c r="M762" s="1" t="s">
        <v>33</v>
      </c>
      <c r="N762" s="3" t="s">
        <v>782</v>
      </c>
      <c r="O762" s="1"/>
    </row>
    <row r="763" spans="1:15" ht="15" customHeight="1">
      <c r="A763" t="s">
        <v>783</v>
      </c>
      <c r="B763" s="1" t="str">
        <f>LEFT(Table1[[#This Row],[Item]], FIND("-", Table1[[#This Row],[Item]]) - 1)</f>
        <v>GX10</v>
      </c>
      <c r="C763" s="1" t="str">
        <f>MID(LEFT(Table1[[#This Row],[Item]], FIND("{token}", SUBSTITUTE(Table1[[#This Row],[Item]], "-", "{token}", 2)) - 1), FIND("-", Table1[[#This Row],[Item]]) + 1, LEN(Table1[[#This Row],[Item]]))</f>
        <v>C</v>
      </c>
      <c r="D763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76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63" s="1" cm="1">
        <f t="array" ref="F763">VALUE(INDEX(_xlfn.TEXTSPLIT(Table1[[#This Row],[Item]], "-"), 5))</f>
        <v>0</v>
      </c>
      <c r="G763" s="1" cm="1">
        <f t="array" ref="G763">VALUE(INDEX(_xlfn.TEXTSPLIT(Table1[[#This Row],[Item]], "-"), 6))</f>
        <v>2</v>
      </c>
      <c r="H763" s="1" cm="1">
        <f t="array" ref="H763">VALUE(INDEX(_xlfn.TEXTSPLIT(Table1[[#This Row],[Item]], "-"), 7))</f>
        <v>0</v>
      </c>
      <c r="I76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63" s="1" t="str">
        <f>LEFT(RIGHT(Table1[[#This Row],[Item]],6),1)</f>
        <v>N</v>
      </c>
      <c r="K763" s="1" t="str">
        <f t="shared" si="13"/>
        <v>N</v>
      </c>
      <c r="L763" s="1" t="str">
        <f>RIGHT(Table1[[#This Row],[Item]],2)</f>
        <v>DG</v>
      </c>
      <c r="M763" s="1" t="s">
        <v>33</v>
      </c>
      <c r="N763" s="3" t="s">
        <v>783</v>
      </c>
      <c r="O763" s="1"/>
    </row>
    <row r="764" spans="1:15" ht="15" customHeight="1">
      <c r="A764" t="s">
        <v>784</v>
      </c>
      <c r="B764" s="1" t="str">
        <f>LEFT(Table1[[#This Row],[Item]], FIND("-", Table1[[#This Row],[Item]]) - 1)</f>
        <v>GX10</v>
      </c>
      <c r="C764" s="1" t="str">
        <f>MID(LEFT(Table1[[#This Row],[Item]], FIND("{token}", SUBSTITUTE(Table1[[#This Row],[Item]], "-", "{token}", 2)) - 1), FIND("-", Table1[[#This Row],[Item]]) + 1, LEN(Table1[[#This Row],[Item]]))</f>
        <v>C</v>
      </c>
      <c r="D764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76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64" s="1" cm="1">
        <f t="array" ref="F764">VALUE(INDEX(_xlfn.TEXTSPLIT(Table1[[#This Row],[Item]], "-"), 5))</f>
        <v>1</v>
      </c>
      <c r="G764" s="1" cm="1">
        <f t="array" ref="G764">VALUE(INDEX(_xlfn.TEXTSPLIT(Table1[[#This Row],[Item]], "-"), 6))</f>
        <v>2</v>
      </c>
      <c r="H764" s="1" cm="1">
        <f t="array" ref="H764">VALUE(INDEX(_xlfn.TEXTSPLIT(Table1[[#This Row],[Item]], "-"), 7))</f>
        <v>0</v>
      </c>
      <c r="I76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64" s="1" t="str">
        <f>LEFT(RIGHT(Table1[[#This Row],[Item]],6),1)</f>
        <v>N</v>
      </c>
      <c r="K764" s="1" t="str">
        <f t="shared" si="13"/>
        <v>N</v>
      </c>
      <c r="L764" s="1" t="str">
        <f>RIGHT(Table1[[#This Row],[Item]],2)</f>
        <v>DG</v>
      </c>
      <c r="M764" s="1" t="s">
        <v>33</v>
      </c>
      <c r="N764" s="3" t="s">
        <v>784</v>
      </c>
      <c r="O764" s="1"/>
    </row>
    <row r="765" spans="1:15" ht="15" customHeight="1">
      <c r="A765" t="s">
        <v>785</v>
      </c>
      <c r="B765" s="1" t="str">
        <f>LEFT(Table1[[#This Row],[Item]], FIND("-", Table1[[#This Row],[Item]]) - 1)</f>
        <v>GX10</v>
      </c>
      <c r="C765" s="1" t="str">
        <f>MID(LEFT(Table1[[#This Row],[Item]], FIND("{token}", SUBSTITUTE(Table1[[#This Row],[Item]], "-", "{token}", 2)) - 1), FIND("-", Table1[[#This Row],[Item]]) + 1, LEN(Table1[[#This Row],[Item]]))</f>
        <v>CXL</v>
      </c>
      <c r="D765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6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65" s="1" cm="1">
        <f t="array" ref="F765">VALUE(INDEX(_xlfn.TEXTSPLIT(Table1[[#This Row],[Item]], "-"), 5))</f>
        <v>1</v>
      </c>
      <c r="G765" s="1" cm="1">
        <f t="array" ref="G765">VALUE(INDEX(_xlfn.TEXTSPLIT(Table1[[#This Row],[Item]], "-"), 6))</f>
        <v>2</v>
      </c>
      <c r="H765" s="1" cm="1">
        <f t="array" ref="H765">VALUE(INDEX(_xlfn.TEXTSPLIT(Table1[[#This Row],[Item]], "-"), 7))</f>
        <v>0</v>
      </c>
      <c r="I76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65" s="1" t="str">
        <f>LEFT(RIGHT(Table1[[#This Row],[Item]],6),1)</f>
        <v>N</v>
      </c>
      <c r="K765" s="1" t="str">
        <f t="shared" si="13"/>
        <v>N</v>
      </c>
      <c r="L765" s="1" t="str">
        <f>RIGHT(Table1[[#This Row],[Item]],2)</f>
        <v>DG</v>
      </c>
      <c r="M765" s="1" t="s">
        <v>33</v>
      </c>
      <c r="N765" s="3" t="s">
        <v>785</v>
      </c>
      <c r="O765" s="1"/>
    </row>
    <row r="766" spans="1:15" ht="15" customHeight="1">
      <c r="A766" t="s">
        <v>786</v>
      </c>
      <c r="B766" s="1" t="str">
        <f>LEFT(Table1[[#This Row],[Item]], FIND("-", Table1[[#This Row],[Item]]) - 1)</f>
        <v>GX10</v>
      </c>
      <c r="C766" s="1" t="str">
        <f>MID(LEFT(Table1[[#This Row],[Item]], FIND("{token}", SUBSTITUTE(Table1[[#This Row],[Item]], "-", "{token}", 2)) - 1), FIND("-", Table1[[#This Row],[Item]]) + 1, LEN(Table1[[#This Row],[Item]]))</f>
        <v>CXL</v>
      </c>
      <c r="D766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76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66" s="1" cm="1">
        <f t="array" ref="F766">VALUE(INDEX(_xlfn.TEXTSPLIT(Table1[[#This Row],[Item]], "-"), 5))</f>
        <v>1</v>
      </c>
      <c r="G766" s="1" cm="1">
        <f t="array" ref="G766">VALUE(INDEX(_xlfn.TEXTSPLIT(Table1[[#This Row],[Item]], "-"), 6))</f>
        <v>2</v>
      </c>
      <c r="H766" s="1" cm="1">
        <f t="array" ref="H766">VALUE(INDEX(_xlfn.TEXTSPLIT(Table1[[#This Row],[Item]], "-"), 7))</f>
        <v>0</v>
      </c>
      <c r="I76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66" s="1" t="str">
        <f>LEFT(RIGHT(Table1[[#This Row],[Item]],6),1)</f>
        <v>N</v>
      </c>
      <c r="K766" s="1" t="str">
        <f t="shared" si="13"/>
        <v>N</v>
      </c>
      <c r="L766" s="1" t="str">
        <f>RIGHT(Table1[[#This Row],[Item]],2)</f>
        <v>DG</v>
      </c>
      <c r="M766" s="1" t="s">
        <v>33</v>
      </c>
      <c r="N766" s="3" t="s">
        <v>786</v>
      </c>
      <c r="O766" s="1"/>
    </row>
    <row r="767" spans="1:15" ht="15" customHeight="1">
      <c r="A767" t="s">
        <v>787</v>
      </c>
      <c r="B767" s="1" t="str">
        <f>LEFT(Table1[[#This Row],[Item]], FIND("-", Table1[[#This Row],[Item]]) - 1)</f>
        <v>GX10</v>
      </c>
      <c r="C767" s="1" t="str">
        <f>MID(LEFT(Table1[[#This Row],[Item]], FIND("{token}", SUBSTITUTE(Table1[[#This Row],[Item]], "-", "{token}", 2)) - 1), FIND("-", Table1[[#This Row],[Item]]) + 1, LEN(Table1[[#This Row],[Item]]))</f>
        <v>CXL</v>
      </c>
      <c r="D76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6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767" s="1" cm="1">
        <f t="array" ref="F767">VALUE(INDEX(_xlfn.TEXTSPLIT(Table1[[#This Row],[Item]], "-"), 5))</f>
        <v>1</v>
      </c>
      <c r="G767" s="1" cm="1">
        <f t="array" ref="G767">VALUE(INDEX(_xlfn.TEXTSPLIT(Table1[[#This Row],[Item]], "-"), 6))</f>
        <v>1</v>
      </c>
      <c r="H767" s="1" cm="1">
        <f t="array" ref="H767">VALUE(INDEX(_xlfn.TEXTSPLIT(Table1[[#This Row],[Item]], "-"), 7))</f>
        <v>1</v>
      </c>
      <c r="I76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67" s="1" t="str">
        <f>LEFT(RIGHT(Table1[[#This Row],[Item]],6),1)</f>
        <v>N</v>
      </c>
      <c r="K767" s="1" t="str">
        <f t="shared" si="13"/>
        <v>N</v>
      </c>
      <c r="L767" s="1" t="str">
        <f>RIGHT(Table1[[#This Row],[Item]],2)</f>
        <v>DG</v>
      </c>
      <c r="M767" s="1" t="s">
        <v>33</v>
      </c>
      <c r="N767" s="3" t="s">
        <v>787</v>
      </c>
      <c r="O767" s="1"/>
    </row>
    <row r="768" spans="1:15" ht="15" customHeight="1">
      <c r="A768" t="s">
        <v>788</v>
      </c>
      <c r="B768" s="1" t="str">
        <f>LEFT(Table1[[#This Row],[Item]], FIND("-", Table1[[#This Row],[Item]]) - 1)</f>
        <v>GX10</v>
      </c>
      <c r="C768" s="1" t="str">
        <f>MID(LEFT(Table1[[#This Row],[Item]], FIND("{token}", SUBSTITUTE(Table1[[#This Row],[Item]], "-", "{token}", 2)) - 1), FIND("-", Table1[[#This Row],[Item]]) + 1, LEN(Table1[[#This Row],[Item]]))</f>
        <v>CXL</v>
      </c>
      <c r="D76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6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68" s="1" cm="1">
        <f t="array" ref="F768">VALUE(INDEX(_xlfn.TEXTSPLIT(Table1[[#This Row],[Item]], "-"), 5))</f>
        <v>1</v>
      </c>
      <c r="G768" s="1" cm="1">
        <f t="array" ref="G768">VALUE(INDEX(_xlfn.TEXTSPLIT(Table1[[#This Row],[Item]], "-"), 6))</f>
        <v>2</v>
      </c>
      <c r="H768" s="1" cm="1">
        <f t="array" ref="H768">VALUE(INDEX(_xlfn.TEXTSPLIT(Table1[[#This Row],[Item]], "-"), 7))</f>
        <v>0</v>
      </c>
      <c r="I76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68" s="1" t="str">
        <f>LEFT(RIGHT(Table1[[#This Row],[Item]],6),1)</f>
        <v>N</v>
      </c>
      <c r="K768" s="1" t="str">
        <f t="shared" si="13"/>
        <v>N</v>
      </c>
      <c r="L768" s="1" t="str">
        <f>RIGHT(Table1[[#This Row],[Item]],2)</f>
        <v>DG</v>
      </c>
      <c r="M768" s="1" t="s">
        <v>33</v>
      </c>
      <c r="N768" s="3" t="s">
        <v>788</v>
      </c>
      <c r="O768" s="1"/>
    </row>
    <row r="769" spans="1:15" ht="15" customHeight="1">
      <c r="A769" t="s">
        <v>789</v>
      </c>
      <c r="B769" s="1" t="str">
        <f>LEFT(Table1[[#This Row],[Item]], FIND("-", Table1[[#This Row],[Item]]) - 1)</f>
        <v>GX10</v>
      </c>
      <c r="C769" s="1" t="str">
        <f>MID(LEFT(Table1[[#This Row],[Item]], FIND("{token}", SUBSTITUTE(Table1[[#This Row],[Item]], "-", "{token}", 2)) - 1), FIND("-", Table1[[#This Row],[Item]]) + 1, LEN(Table1[[#This Row],[Item]]))</f>
        <v>CXL</v>
      </c>
      <c r="D769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76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69" s="1" cm="1">
        <f t="array" ref="F769">VALUE(INDEX(_xlfn.TEXTSPLIT(Table1[[#This Row],[Item]], "-"), 5))</f>
        <v>1</v>
      </c>
      <c r="G769" s="1" cm="1">
        <f t="array" ref="G769">VALUE(INDEX(_xlfn.TEXTSPLIT(Table1[[#This Row],[Item]], "-"), 6))</f>
        <v>2</v>
      </c>
      <c r="H769" s="1" cm="1">
        <f t="array" ref="H769">VALUE(INDEX(_xlfn.TEXTSPLIT(Table1[[#This Row],[Item]], "-"), 7))</f>
        <v>0</v>
      </c>
      <c r="I76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69" s="1" t="str">
        <f>LEFT(RIGHT(Table1[[#This Row],[Item]],6),1)</f>
        <v>N</v>
      </c>
      <c r="K769" s="1" t="str">
        <f t="shared" si="13"/>
        <v>N</v>
      </c>
      <c r="L769" s="1" t="str">
        <f>RIGHT(Table1[[#This Row],[Item]],2)</f>
        <v>DG</v>
      </c>
      <c r="M769" s="1" t="s">
        <v>33</v>
      </c>
      <c r="N769" s="3" t="s">
        <v>789</v>
      </c>
      <c r="O769" s="1"/>
    </row>
    <row r="770" spans="1:15" ht="15" customHeight="1">
      <c r="A770" t="s">
        <v>790</v>
      </c>
      <c r="B770" s="1" t="str">
        <f>LEFT(Table1[[#This Row],[Item]], FIND("-", Table1[[#This Row],[Item]]) - 1)</f>
        <v>GX10</v>
      </c>
      <c r="C770" s="1" t="str">
        <f>MID(LEFT(Table1[[#This Row],[Item]], FIND("{token}", SUBSTITUTE(Table1[[#This Row],[Item]], "-", "{token}", 2)) - 1), FIND("-", Table1[[#This Row],[Item]]) + 1, LEN(Table1[[#This Row],[Item]]))</f>
        <v>D</v>
      </c>
      <c r="D77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7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70" s="1" cm="1">
        <f t="array" ref="F770">VALUE(INDEX(_xlfn.TEXTSPLIT(Table1[[#This Row],[Item]], "-"), 5))</f>
        <v>1</v>
      </c>
      <c r="G770" s="1" cm="1">
        <f t="array" ref="G770">VALUE(INDEX(_xlfn.TEXTSPLIT(Table1[[#This Row],[Item]], "-"), 6))</f>
        <v>0</v>
      </c>
      <c r="H770" s="1" cm="1">
        <f t="array" ref="H770">VALUE(INDEX(_xlfn.TEXTSPLIT(Table1[[#This Row],[Item]], "-"), 7))</f>
        <v>1</v>
      </c>
      <c r="I77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70" s="1" t="str">
        <f>LEFT(RIGHT(Table1[[#This Row],[Item]],6),1)</f>
        <v>N</v>
      </c>
      <c r="K770" s="1" t="str">
        <f t="shared" si="13"/>
        <v>N</v>
      </c>
      <c r="L770" s="1" t="str">
        <f>RIGHT(Table1[[#This Row],[Item]],2)</f>
        <v>DG</v>
      </c>
      <c r="M770" s="1" t="s">
        <v>33</v>
      </c>
      <c r="N770" s="3" t="s">
        <v>790</v>
      </c>
      <c r="O770" s="1"/>
    </row>
    <row r="771" spans="1:15" ht="15" customHeight="1">
      <c r="A771" t="s">
        <v>791</v>
      </c>
      <c r="B771" s="1" t="str">
        <f>LEFT(Table1[[#This Row],[Item]], FIND("-", Table1[[#This Row],[Item]]) - 1)</f>
        <v>GX10</v>
      </c>
      <c r="C771" s="1" t="str">
        <f>MID(LEFT(Table1[[#This Row],[Item]], FIND("{token}", SUBSTITUTE(Table1[[#This Row],[Item]], "-", "{token}", 2)) - 1), FIND("-", Table1[[#This Row],[Item]]) + 1, LEN(Table1[[#This Row],[Item]]))</f>
        <v>D</v>
      </c>
      <c r="D77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7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71" s="1" cm="1">
        <f t="array" ref="F771">VALUE(INDEX(_xlfn.TEXTSPLIT(Table1[[#This Row],[Item]], "-"), 5))</f>
        <v>1</v>
      </c>
      <c r="G771" s="1" cm="1">
        <f t="array" ref="G771">VALUE(INDEX(_xlfn.TEXTSPLIT(Table1[[#This Row],[Item]], "-"), 6))</f>
        <v>1</v>
      </c>
      <c r="H771" s="1" cm="1">
        <f t="array" ref="H771">VALUE(INDEX(_xlfn.TEXTSPLIT(Table1[[#This Row],[Item]], "-"), 7))</f>
        <v>0</v>
      </c>
      <c r="I77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71" s="1" t="str">
        <f>LEFT(RIGHT(Table1[[#This Row],[Item]],6),1)</f>
        <v>N</v>
      </c>
      <c r="K771" s="1" t="str">
        <f t="shared" si="13"/>
        <v>N</v>
      </c>
      <c r="L771" s="1" t="str">
        <f>RIGHT(Table1[[#This Row],[Item]],2)</f>
        <v>DG</v>
      </c>
      <c r="M771" s="1" t="s">
        <v>33</v>
      </c>
      <c r="N771" s="3" t="s">
        <v>791</v>
      </c>
      <c r="O771" s="1"/>
    </row>
    <row r="772" spans="1:15" ht="15" customHeight="1">
      <c r="A772" t="s">
        <v>792</v>
      </c>
      <c r="B772" s="1" t="str">
        <f>LEFT(Table1[[#This Row],[Item]], FIND("-", Table1[[#This Row],[Item]]) - 1)</f>
        <v>GX10</v>
      </c>
      <c r="C772" s="1" t="str">
        <f>MID(LEFT(Table1[[#This Row],[Item]], FIND("{token}", SUBSTITUTE(Table1[[#This Row],[Item]], "-", "{token}", 2)) - 1), FIND("-", Table1[[#This Row],[Item]]) + 1, LEN(Table1[[#This Row],[Item]]))</f>
        <v>D</v>
      </c>
      <c r="D772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77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72" s="1" cm="1">
        <f t="array" ref="F772">VALUE(INDEX(_xlfn.TEXTSPLIT(Table1[[#This Row],[Item]], "-"), 5))</f>
        <v>1</v>
      </c>
      <c r="G772" s="1" cm="1">
        <f t="array" ref="G772">VALUE(INDEX(_xlfn.TEXTSPLIT(Table1[[#This Row],[Item]], "-"), 6))</f>
        <v>1</v>
      </c>
      <c r="H772" s="1" cm="1">
        <f t="array" ref="H772">VALUE(INDEX(_xlfn.TEXTSPLIT(Table1[[#This Row],[Item]], "-"), 7))</f>
        <v>0</v>
      </c>
      <c r="I77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72" s="1" t="str">
        <f>LEFT(RIGHT(Table1[[#This Row],[Item]],6),1)</f>
        <v>N</v>
      </c>
      <c r="K772" s="1" t="str">
        <f t="shared" si="13"/>
        <v>N</v>
      </c>
      <c r="L772" s="1" t="str">
        <f>RIGHT(Table1[[#This Row],[Item]],2)</f>
        <v>DG</v>
      </c>
      <c r="M772" s="1" t="s">
        <v>33</v>
      </c>
      <c r="N772" s="3" t="s">
        <v>792</v>
      </c>
      <c r="O772" s="1"/>
    </row>
    <row r="773" spans="1:15" ht="15" customHeight="1">
      <c r="A773" t="s">
        <v>793</v>
      </c>
      <c r="B773" s="1" t="str">
        <f>LEFT(Table1[[#This Row],[Item]], FIND("-", Table1[[#This Row],[Item]]) - 1)</f>
        <v>GX10</v>
      </c>
      <c r="C773" s="1" t="str">
        <f>MID(LEFT(Table1[[#This Row],[Item]], FIND("{token}", SUBSTITUTE(Table1[[#This Row],[Item]], "-", "{token}", 2)) - 1), FIND("-", Table1[[#This Row],[Item]]) + 1, LEN(Table1[[#This Row],[Item]]))</f>
        <v>D</v>
      </c>
      <c r="D77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7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73" s="1" cm="1">
        <f t="array" ref="F773">VALUE(INDEX(_xlfn.TEXTSPLIT(Table1[[#This Row],[Item]], "-"), 5))</f>
        <v>1</v>
      </c>
      <c r="G773" s="1" cm="1">
        <f t="array" ref="G773">VALUE(INDEX(_xlfn.TEXTSPLIT(Table1[[#This Row],[Item]], "-"), 6))</f>
        <v>1</v>
      </c>
      <c r="H773" s="1" cm="1">
        <f t="array" ref="H773">VALUE(INDEX(_xlfn.TEXTSPLIT(Table1[[#This Row],[Item]], "-"), 7))</f>
        <v>0</v>
      </c>
      <c r="I77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73" s="1" t="str">
        <f>LEFT(RIGHT(Table1[[#This Row],[Item]],6),1)</f>
        <v>N</v>
      </c>
      <c r="K773" s="1" t="str">
        <f t="shared" si="13"/>
        <v>N</v>
      </c>
      <c r="L773" s="1" t="str">
        <f>RIGHT(Table1[[#This Row],[Item]],2)</f>
        <v>DG</v>
      </c>
      <c r="M773" s="1" t="s">
        <v>33</v>
      </c>
      <c r="N773" s="3" t="s">
        <v>793</v>
      </c>
      <c r="O773" s="1"/>
    </row>
    <row r="774" spans="1:15" ht="15" customHeight="1">
      <c r="A774" t="s">
        <v>794</v>
      </c>
      <c r="B774" s="1" t="str">
        <f>LEFT(Table1[[#This Row],[Item]], FIND("-", Table1[[#This Row],[Item]]) - 1)</f>
        <v>GX10</v>
      </c>
      <c r="C774" s="1" t="str">
        <f>MID(LEFT(Table1[[#This Row],[Item]], FIND("{token}", SUBSTITUTE(Table1[[#This Row],[Item]], "-", "{token}", 2)) - 1), FIND("-", Table1[[#This Row],[Item]]) + 1, LEN(Table1[[#This Row],[Item]]))</f>
        <v>DXL</v>
      </c>
      <c r="D77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7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74" s="1" cm="1">
        <f t="array" ref="F774">VALUE(INDEX(_xlfn.TEXTSPLIT(Table1[[#This Row],[Item]], "-"), 5))</f>
        <v>1</v>
      </c>
      <c r="G774" s="1" cm="1">
        <f t="array" ref="G774">VALUE(INDEX(_xlfn.TEXTSPLIT(Table1[[#This Row],[Item]], "-"), 6))</f>
        <v>0</v>
      </c>
      <c r="H774" s="1" cm="1">
        <f t="array" ref="H774">VALUE(INDEX(_xlfn.TEXTSPLIT(Table1[[#This Row],[Item]], "-"), 7))</f>
        <v>1</v>
      </c>
      <c r="I77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74" s="1" t="str">
        <f>LEFT(RIGHT(Table1[[#This Row],[Item]],6),1)</f>
        <v>N</v>
      </c>
      <c r="K774" s="1" t="str">
        <f t="shared" si="13"/>
        <v>N</v>
      </c>
      <c r="L774" s="1" t="str">
        <f>RIGHT(Table1[[#This Row],[Item]],2)</f>
        <v>DG</v>
      </c>
      <c r="M774" s="1" t="s">
        <v>33</v>
      </c>
      <c r="N774" s="3" t="s">
        <v>794</v>
      </c>
      <c r="O774" s="1"/>
    </row>
    <row r="775" spans="1:15" ht="15" customHeight="1">
      <c r="A775" t="s">
        <v>795</v>
      </c>
      <c r="B775" s="1" t="str">
        <f>LEFT(Table1[[#This Row],[Item]], FIND("-", Table1[[#This Row],[Item]]) - 1)</f>
        <v>GX10</v>
      </c>
      <c r="C775" s="1" t="str">
        <f>MID(LEFT(Table1[[#This Row],[Item]], FIND("{token}", SUBSTITUTE(Table1[[#This Row],[Item]], "-", "{token}", 2)) - 1), FIND("-", Table1[[#This Row],[Item]]) + 1, LEN(Table1[[#This Row],[Item]]))</f>
        <v>DXL</v>
      </c>
      <c r="D77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7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75" s="1" cm="1">
        <f t="array" ref="F775">VALUE(INDEX(_xlfn.TEXTSPLIT(Table1[[#This Row],[Item]], "-"), 5))</f>
        <v>1</v>
      </c>
      <c r="G775" s="1" cm="1">
        <f t="array" ref="G775">VALUE(INDEX(_xlfn.TEXTSPLIT(Table1[[#This Row],[Item]], "-"), 6))</f>
        <v>1</v>
      </c>
      <c r="H775" s="1" cm="1">
        <f t="array" ref="H775">VALUE(INDEX(_xlfn.TEXTSPLIT(Table1[[#This Row],[Item]], "-"), 7))</f>
        <v>0</v>
      </c>
      <c r="I77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75" s="1" t="str">
        <f>LEFT(RIGHT(Table1[[#This Row],[Item]],6),1)</f>
        <v>N</v>
      </c>
      <c r="K775" s="1" t="str">
        <f t="shared" si="13"/>
        <v>N</v>
      </c>
      <c r="L775" s="1" t="str">
        <f>RIGHT(Table1[[#This Row],[Item]],2)</f>
        <v>DG</v>
      </c>
      <c r="M775" s="1" t="s">
        <v>33</v>
      </c>
      <c r="N775" s="3" t="s">
        <v>795</v>
      </c>
      <c r="O775" s="1"/>
    </row>
    <row r="776" spans="1:15" ht="15" customHeight="1">
      <c r="A776" t="s">
        <v>796</v>
      </c>
      <c r="B776" s="1" t="str">
        <f>LEFT(Table1[[#This Row],[Item]], FIND("-", Table1[[#This Row],[Item]]) - 1)</f>
        <v>GX10</v>
      </c>
      <c r="C776" s="1" t="str">
        <f>MID(LEFT(Table1[[#This Row],[Item]], FIND("{token}", SUBSTITUTE(Table1[[#This Row],[Item]], "-", "{token}", 2)) - 1), FIND("-", Table1[[#This Row],[Item]]) + 1, LEN(Table1[[#This Row],[Item]]))</f>
        <v>L</v>
      </c>
      <c r="D77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7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76" s="1" cm="1">
        <f t="array" ref="F776">VALUE(INDEX(_xlfn.TEXTSPLIT(Table1[[#This Row],[Item]], "-"), 5))</f>
        <v>1</v>
      </c>
      <c r="G776" s="1" cm="1">
        <f t="array" ref="G776">VALUE(INDEX(_xlfn.TEXTSPLIT(Table1[[#This Row],[Item]], "-"), 6))</f>
        <v>2</v>
      </c>
      <c r="H776" s="1" cm="1">
        <f t="array" ref="H776">VALUE(INDEX(_xlfn.TEXTSPLIT(Table1[[#This Row],[Item]], "-"), 7))</f>
        <v>0</v>
      </c>
      <c r="I77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76" s="1" t="str">
        <f>LEFT(RIGHT(Table1[[#This Row],[Item]],6),1)</f>
        <v>N</v>
      </c>
      <c r="K776" s="1" t="str">
        <f t="shared" si="13"/>
        <v>N</v>
      </c>
      <c r="L776" s="1" t="str">
        <f>RIGHT(Table1[[#This Row],[Item]],2)</f>
        <v>DG</v>
      </c>
      <c r="M776" s="1" t="s">
        <v>33</v>
      </c>
      <c r="N776" s="3" t="s">
        <v>796</v>
      </c>
      <c r="O776" s="1"/>
    </row>
    <row r="777" spans="1:15" ht="15" customHeight="1">
      <c r="A777" t="s">
        <v>797</v>
      </c>
      <c r="B777" s="1" t="str">
        <f>LEFT(Table1[[#This Row],[Item]], FIND("-", Table1[[#This Row],[Item]]) - 1)</f>
        <v>GX10</v>
      </c>
      <c r="C777" s="1" t="str">
        <f>MID(LEFT(Table1[[#This Row],[Item]], FIND("{token}", SUBSTITUTE(Table1[[#This Row],[Item]], "-", "{token}", 2)) - 1), FIND("-", Table1[[#This Row],[Item]]) + 1, LEN(Table1[[#This Row],[Item]]))</f>
        <v>R</v>
      </c>
      <c r="D77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7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77" s="1" cm="1">
        <f t="array" ref="F777">VALUE(INDEX(_xlfn.TEXTSPLIT(Table1[[#This Row],[Item]], "-"), 5))</f>
        <v>1</v>
      </c>
      <c r="G777" s="1" cm="1">
        <f t="array" ref="G777">VALUE(INDEX(_xlfn.TEXTSPLIT(Table1[[#This Row],[Item]], "-"), 6))</f>
        <v>2</v>
      </c>
      <c r="H777" s="1" cm="1">
        <f t="array" ref="H777">VALUE(INDEX(_xlfn.TEXTSPLIT(Table1[[#This Row],[Item]], "-"), 7))</f>
        <v>0</v>
      </c>
      <c r="I77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77" s="1" t="str">
        <f>LEFT(RIGHT(Table1[[#This Row],[Item]],6),1)</f>
        <v>N</v>
      </c>
      <c r="K777" s="1" t="str">
        <f t="shared" si="13"/>
        <v>N</v>
      </c>
      <c r="L777" s="1" t="str">
        <f>RIGHT(Table1[[#This Row],[Item]],2)</f>
        <v>DG</v>
      </c>
      <c r="M777" s="1" t="s">
        <v>33</v>
      </c>
      <c r="N777" s="3" t="s">
        <v>797</v>
      </c>
      <c r="O777" s="1"/>
    </row>
    <row r="778" spans="1:15" ht="15" customHeight="1">
      <c r="A778" t="s">
        <v>798</v>
      </c>
      <c r="B778" s="1" t="str">
        <f>LEFT(Table1[[#This Row],[Item]], FIND("-", Table1[[#This Row],[Item]]) - 1)</f>
        <v>GX12</v>
      </c>
      <c r="C778" s="1" t="str">
        <f>MID(LEFT(Table1[[#This Row],[Item]], FIND("{token}", SUBSTITUTE(Table1[[#This Row],[Item]], "-", "{token}", 2)) - 1), FIND("-", Table1[[#This Row],[Item]]) + 1, LEN(Table1[[#This Row],[Item]]))</f>
        <v>C</v>
      </c>
      <c r="D778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77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78" s="1" cm="1">
        <f t="array" ref="F778">VALUE(INDEX(_xlfn.TEXTSPLIT(Table1[[#This Row],[Item]], "-"), 5))</f>
        <v>2</v>
      </c>
      <c r="G778" s="1" cm="1">
        <f t="array" ref="G778">VALUE(INDEX(_xlfn.TEXTSPLIT(Table1[[#This Row],[Item]], "-"), 6))</f>
        <v>2</v>
      </c>
      <c r="H778" s="1" cm="1">
        <f t="array" ref="H778">VALUE(INDEX(_xlfn.TEXTSPLIT(Table1[[#This Row],[Item]], "-"), 7))</f>
        <v>0</v>
      </c>
      <c r="I77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78" s="1" t="str">
        <f>LEFT(RIGHT(Table1[[#This Row],[Item]],6),1)</f>
        <v>N</v>
      </c>
      <c r="K778" s="1" t="str">
        <f t="shared" si="13"/>
        <v>N</v>
      </c>
      <c r="L778" s="1" t="str">
        <f>RIGHT(Table1[[#This Row],[Item]],2)</f>
        <v>DG</v>
      </c>
      <c r="M778" s="1" t="s">
        <v>33</v>
      </c>
      <c r="N778" s="3" t="s">
        <v>798</v>
      </c>
      <c r="O778" s="1"/>
    </row>
    <row r="779" spans="1:15" ht="15" customHeight="1">
      <c r="A779" t="s">
        <v>799</v>
      </c>
      <c r="B779" s="1" t="str">
        <f>LEFT(Table1[[#This Row],[Item]], FIND("-", Table1[[#This Row],[Item]]) - 1)</f>
        <v>GX12</v>
      </c>
      <c r="C779" s="1" t="str">
        <f>MID(LEFT(Table1[[#This Row],[Item]], FIND("{token}", SUBSTITUTE(Table1[[#This Row],[Item]], "-", "{token}", 2)) - 1), FIND("-", Table1[[#This Row],[Item]]) + 1, LEN(Table1[[#This Row],[Item]]))</f>
        <v>C</v>
      </c>
      <c r="D77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7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79" s="1" cm="1">
        <f t="array" ref="F779">VALUE(INDEX(_xlfn.TEXTSPLIT(Table1[[#This Row],[Item]], "-"), 5))</f>
        <v>2</v>
      </c>
      <c r="G779" s="1" cm="1">
        <f t="array" ref="G779">VALUE(INDEX(_xlfn.TEXTSPLIT(Table1[[#This Row],[Item]], "-"), 6))</f>
        <v>2</v>
      </c>
      <c r="H779" s="1" cm="1">
        <f t="array" ref="H779">VALUE(INDEX(_xlfn.TEXTSPLIT(Table1[[#This Row],[Item]], "-"), 7))</f>
        <v>0</v>
      </c>
      <c r="I77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79" s="1" t="str">
        <f>LEFT(RIGHT(Table1[[#This Row],[Item]],6),1)</f>
        <v>N</v>
      </c>
      <c r="K779" s="1" t="str">
        <f t="shared" si="13"/>
        <v>N</v>
      </c>
      <c r="L779" s="1" t="str">
        <f>RIGHT(Table1[[#This Row],[Item]],2)</f>
        <v>DG</v>
      </c>
      <c r="M779" s="1" t="s">
        <v>33</v>
      </c>
      <c r="N779" s="3" t="s">
        <v>799</v>
      </c>
      <c r="O779" s="1"/>
    </row>
    <row r="780" spans="1:15" ht="15" customHeight="1">
      <c r="A780" t="s">
        <v>800</v>
      </c>
      <c r="B780" s="1" t="str">
        <f>LEFT(Table1[[#This Row],[Item]], FIND("-", Table1[[#This Row],[Item]]) - 1)</f>
        <v>GX12</v>
      </c>
      <c r="C780" s="1" t="str">
        <f>MID(LEFT(Table1[[#This Row],[Item]], FIND("{token}", SUBSTITUTE(Table1[[#This Row],[Item]], "-", "{token}", 2)) - 1), FIND("-", Table1[[#This Row],[Item]]) + 1, LEN(Table1[[#This Row],[Item]]))</f>
        <v>D</v>
      </c>
      <c r="D78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8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80" s="1" cm="1">
        <f t="array" ref="F780">VALUE(INDEX(_xlfn.TEXTSPLIT(Table1[[#This Row],[Item]], "-"), 5))</f>
        <v>1</v>
      </c>
      <c r="G780" s="1" cm="1">
        <f t="array" ref="G780">VALUE(INDEX(_xlfn.TEXTSPLIT(Table1[[#This Row],[Item]], "-"), 6))</f>
        <v>1</v>
      </c>
      <c r="H780" s="1" cm="1">
        <f t="array" ref="H780">VALUE(INDEX(_xlfn.TEXTSPLIT(Table1[[#This Row],[Item]], "-"), 7))</f>
        <v>1</v>
      </c>
      <c r="I78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80" s="1" t="str">
        <f>LEFT(RIGHT(Table1[[#This Row],[Item]],6),1)</f>
        <v>N</v>
      </c>
      <c r="K780" s="1" t="str">
        <f t="shared" si="13"/>
        <v>N</v>
      </c>
      <c r="L780" s="1" t="str">
        <f>RIGHT(Table1[[#This Row],[Item]],2)</f>
        <v>DG</v>
      </c>
      <c r="M780" s="1" t="s">
        <v>33</v>
      </c>
      <c r="N780" s="3" t="s">
        <v>800</v>
      </c>
      <c r="O780" s="1"/>
    </row>
    <row r="781" spans="1:15" ht="15" customHeight="1">
      <c r="A781" t="s">
        <v>801</v>
      </c>
      <c r="B781" s="1" t="str">
        <f>LEFT(Table1[[#This Row],[Item]], FIND("-", Table1[[#This Row],[Item]]) - 1)</f>
        <v>GX12</v>
      </c>
      <c r="C781" s="1" t="str">
        <f>MID(LEFT(Table1[[#This Row],[Item]], FIND("{token}", SUBSTITUTE(Table1[[#This Row],[Item]], "-", "{token}", 2)) - 1), FIND("-", Table1[[#This Row],[Item]]) + 1, LEN(Table1[[#This Row],[Item]]))</f>
        <v>D</v>
      </c>
      <c r="D78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8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81" s="1" cm="1">
        <f t="array" ref="F781">VALUE(INDEX(_xlfn.TEXTSPLIT(Table1[[#This Row],[Item]], "-"), 5))</f>
        <v>0</v>
      </c>
      <c r="G781" s="1" cm="1">
        <f t="array" ref="G781">VALUE(INDEX(_xlfn.TEXTSPLIT(Table1[[#This Row],[Item]], "-"), 6))</f>
        <v>2</v>
      </c>
      <c r="H781" s="1" cm="1">
        <f t="array" ref="H781">VALUE(INDEX(_xlfn.TEXTSPLIT(Table1[[#This Row],[Item]], "-"), 7))</f>
        <v>0</v>
      </c>
      <c r="I78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81" s="1" t="str">
        <f>LEFT(RIGHT(Table1[[#This Row],[Item]],6),1)</f>
        <v>N</v>
      </c>
      <c r="K781" s="1" t="str">
        <f t="shared" si="13"/>
        <v>N</v>
      </c>
      <c r="L781" s="1" t="str">
        <f>RIGHT(Table1[[#This Row],[Item]],2)</f>
        <v>DG</v>
      </c>
      <c r="M781" s="1" t="s">
        <v>33</v>
      </c>
      <c r="N781" s="3" t="s">
        <v>801</v>
      </c>
      <c r="O781" s="1"/>
    </row>
    <row r="782" spans="1:15" ht="15" customHeight="1">
      <c r="A782" t="s">
        <v>802</v>
      </c>
      <c r="B782" s="1" t="str">
        <f>LEFT(Table1[[#This Row],[Item]], FIND("-", Table1[[#This Row],[Item]]) - 1)</f>
        <v>GX12</v>
      </c>
      <c r="C782" s="1" t="str">
        <f>MID(LEFT(Table1[[#This Row],[Item]], FIND("{token}", SUBSTITUTE(Table1[[#This Row],[Item]], "-", "{token}", 2)) - 1), FIND("-", Table1[[#This Row],[Item]]) + 1, LEN(Table1[[#This Row],[Item]]))</f>
        <v>D</v>
      </c>
      <c r="D782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8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82" s="1" cm="1">
        <f t="array" ref="F782">VALUE(INDEX(_xlfn.TEXTSPLIT(Table1[[#This Row],[Item]], "-"), 5))</f>
        <v>1</v>
      </c>
      <c r="G782" s="1" cm="1">
        <f t="array" ref="G782">VALUE(INDEX(_xlfn.TEXTSPLIT(Table1[[#This Row],[Item]], "-"), 6))</f>
        <v>2</v>
      </c>
      <c r="H782" s="1" cm="1">
        <f t="array" ref="H782">VALUE(INDEX(_xlfn.TEXTSPLIT(Table1[[#This Row],[Item]], "-"), 7))</f>
        <v>0</v>
      </c>
      <c r="I78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82" s="1" t="str">
        <f>LEFT(RIGHT(Table1[[#This Row],[Item]],6),1)</f>
        <v>N</v>
      </c>
      <c r="K782" s="1" t="str">
        <f t="shared" si="13"/>
        <v>N</v>
      </c>
      <c r="L782" s="1" t="str">
        <f>RIGHT(Table1[[#This Row],[Item]],2)</f>
        <v>DG</v>
      </c>
      <c r="M782" s="1" t="s">
        <v>33</v>
      </c>
      <c r="N782" s="3" t="s">
        <v>802</v>
      </c>
      <c r="O782" s="1"/>
    </row>
    <row r="783" spans="1:15" ht="15" customHeight="1">
      <c r="A783" t="s">
        <v>803</v>
      </c>
      <c r="B783" s="1" t="str">
        <f>LEFT(Table1[[#This Row],[Item]], FIND("-", Table1[[#This Row],[Item]]) - 1)</f>
        <v>GX12</v>
      </c>
      <c r="C783" s="1" t="str">
        <f>MID(LEFT(Table1[[#This Row],[Item]], FIND("{token}", SUBSTITUTE(Table1[[#This Row],[Item]], "-", "{token}", 2)) - 1), FIND("-", Table1[[#This Row],[Item]]) + 1, LEN(Table1[[#This Row],[Item]]))</f>
        <v>D</v>
      </c>
      <c r="D78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8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83" s="1" cm="1">
        <f t="array" ref="F783">VALUE(INDEX(_xlfn.TEXTSPLIT(Table1[[#This Row],[Item]], "-"), 5))</f>
        <v>0</v>
      </c>
      <c r="G783" s="1" cm="1">
        <f t="array" ref="G783">VALUE(INDEX(_xlfn.TEXTSPLIT(Table1[[#This Row],[Item]], "-"), 6))</f>
        <v>0</v>
      </c>
      <c r="H783" s="1" cm="1">
        <f t="array" ref="H783">VALUE(INDEX(_xlfn.TEXTSPLIT(Table1[[#This Row],[Item]], "-"), 7))</f>
        <v>0</v>
      </c>
      <c r="I78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83" s="1" t="str">
        <f>LEFT(RIGHT(Table1[[#This Row],[Item]],6),1)</f>
        <v>N</v>
      </c>
      <c r="K783" s="1" t="str">
        <f t="shared" si="13"/>
        <v>N</v>
      </c>
      <c r="L783" s="1" t="str">
        <f>RIGHT(Table1[[#This Row],[Item]],2)</f>
        <v>DG</v>
      </c>
      <c r="M783" s="1" t="s">
        <v>33</v>
      </c>
      <c r="N783" s="3" t="s">
        <v>803</v>
      </c>
      <c r="O783" s="1"/>
    </row>
    <row r="784" spans="1:15" ht="15" customHeight="1">
      <c r="A784" t="s">
        <v>804</v>
      </c>
      <c r="B784" s="1" t="str">
        <f>LEFT(Table1[[#This Row],[Item]], FIND("-", Table1[[#This Row],[Item]]) - 1)</f>
        <v>GX12</v>
      </c>
      <c r="C784" s="1" t="str">
        <f>MID(LEFT(Table1[[#This Row],[Item]], FIND("{token}", SUBSTITUTE(Table1[[#This Row],[Item]], "-", "{token}", 2)) - 1), FIND("-", Table1[[#This Row],[Item]]) + 1, LEN(Table1[[#This Row],[Item]]))</f>
        <v>D</v>
      </c>
      <c r="D78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8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84" s="1" cm="1">
        <f t="array" ref="F784">VALUE(INDEX(_xlfn.TEXTSPLIT(Table1[[#This Row],[Item]], "-"), 5))</f>
        <v>1</v>
      </c>
      <c r="G784" s="1" cm="1">
        <f t="array" ref="G784">VALUE(INDEX(_xlfn.TEXTSPLIT(Table1[[#This Row],[Item]], "-"), 6))</f>
        <v>2</v>
      </c>
      <c r="H784" s="1" cm="1">
        <f t="array" ref="H784">VALUE(INDEX(_xlfn.TEXTSPLIT(Table1[[#This Row],[Item]], "-"), 7))</f>
        <v>0</v>
      </c>
      <c r="I78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84" s="1" t="str">
        <f>LEFT(RIGHT(Table1[[#This Row],[Item]],6),1)</f>
        <v>N</v>
      </c>
      <c r="K784" s="1" t="str">
        <f t="shared" si="13"/>
        <v>N</v>
      </c>
      <c r="L784" s="1" t="str">
        <f>RIGHT(Table1[[#This Row],[Item]],2)</f>
        <v>DG</v>
      </c>
      <c r="M784" s="1" t="s">
        <v>33</v>
      </c>
      <c r="N784" s="3" t="s">
        <v>804</v>
      </c>
      <c r="O784" s="1"/>
    </row>
    <row r="785" spans="1:15" ht="15" customHeight="1">
      <c r="A785" t="s">
        <v>805</v>
      </c>
      <c r="B785" s="1" t="str">
        <f>LEFT(Table1[[#This Row],[Item]], FIND("-", Table1[[#This Row],[Item]]) - 1)</f>
        <v>GX12</v>
      </c>
      <c r="C785" s="1" t="str">
        <f>MID(LEFT(Table1[[#This Row],[Item]], FIND("{token}", SUBSTITUTE(Table1[[#This Row],[Item]], "-", "{token}", 2)) - 1), FIND("-", Table1[[#This Row],[Item]]) + 1, LEN(Table1[[#This Row],[Item]]))</f>
        <v>D</v>
      </c>
      <c r="D785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78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85" s="1" cm="1">
        <f t="array" ref="F785">VALUE(INDEX(_xlfn.TEXTSPLIT(Table1[[#This Row],[Item]], "-"), 5))</f>
        <v>1</v>
      </c>
      <c r="G785" s="1" cm="1">
        <f t="array" ref="G785">VALUE(INDEX(_xlfn.TEXTSPLIT(Table1[[#This Row],[Item]], "-"), 6))</f>
        <v>2</v>
      </c>
      <c r="H785" s="1" cm="1">
        <f t="array" ref="H785">VALUE(INDEX(_xlfn.TEXTSPLIT(Table1[[#This Row],[Item]], "-"), 7))</f>
        <v>0</v>
      </c>
      <c r="I78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85" s="1" t="str">
        <f>LEFT(RIGHT(Table1[[#This Row],[Item]],6),1)</f>
        <v>N</v>
      </c>
      <c r="K785" s="1" t="str">
        <f t="shared" si="13"/>
        <v>N</v>
      </c>
      <c r="L785" s="1" t="str">
        <f>RIGHT(Table1[[#This Row],[Item]],2)</f>
        <v>DG</v>
      </c>
      <c r="M785" s="1" t="s">
        <v>33</v>
      </c>
      <c r="N785" s="3" t="s">
        <v>805</v>
      </c>
      <c r="O785" s="1"/>
    </row>
    <row r="786" spans="1:15" ht="15" customHeight="1">
      <c r="A786" t="s">
        <v>806</v>
      </c>
      <c r="B786" s="1" t="str">
        <f>LEFT(Table1[[#This Row],[Item]], FIND("-", Table1[[#This Row],[Item]]) - 1)</f>
        <v>GX12</v>
      </c>
      <c r="C786" s="1" t="str">
        <f>MID(LEFT(Table1[[#This Row],[Item]], FIND("{token}", SUBSTITUTE(Table1[[#This Row],[Item]], "-", "{token}", 2)) - 1), FIND("-", Table1[[#This Row],[Item]]) + 1, LEN(Table1[[#This Row],[Item]]))</f>
        <v>DXL</v>
      </c>
      <c r="D78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8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86" s="1" cm="1">
        <f t="array" ref="F786">VALUE(INDEX(_xlfn.TEXTSPLIT(Table1[[#This Row],[Item]], "-"), 5))</f>
        <v>1</v>
      </c>
      <c r="G786" s="1" cm="1">
        <f t="array" ref="G786">VALUE(INDEX(_xlfn.TEXTSPLIT(Table1[[#This Row],[Item]], "-"), 6))</f>
        <v>1</v>
      </c>
      <c r="H786" s="1" cm="1">
        <f t="array" ref="H786">VALUE(INDEX(_xlfn.TEXTSPLIT(Table1[[#This Row],[Item]], "-"), 7))</f>
        <v>1</v>
      </c>
      <c r="I78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86" s="1" t="str">
        <f>LEFT(RIGHT(Table1[[#This Row],[Item]],6),1)</f>
        <v>N</v>
      </c>
      <c r="K786" s="1" t="str">
        <f t="shared" si="13"/>
        <v>N</v>
      </c>
      <c r="L786" s="1" t="str">
        <f>RIGHT(Table1[[#This Row],[Item]],2)</f>
        <v>DG</v>
      </c>
      <c r="M786" s="1" t="s">
        <v>33</v>
      </c>
      <c r="N786" s="3" t="s">
        <v>806</v>
      </c>
      <c r="O786" s="1"/>
    </row>
    <row r="787" spans="1:15" ht="15" customHeight="1">
      <c r="A787" t="s">
        <v>807</v>
      </c>
      <c r="B787" s="1" t="str">
        <f>LEFT(Table1[[#This Row],[Item]], FIND("-", Table1[[#This Row],[Item]]) - 1)</f>
        <v>GX12</v>
      </c>
      <c r="C787" s="1" t="str">
        <f>MID(LEFT(Table1[[#This Row],[Item]], FIND("{token}", SUBSTITUTE(Table1[[#This Row],[Item]], "-", "{token}", 2)) - 1), FIND("-", Table1[[#This Row],[Item]]) + 1, LEN(Table1[[#This Row],[Item]]))</f>
        <v>DXL</v>
      </c>
      <c r="D78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8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87" s="1" cm="1">
        <f t="array" ref="F787">VALUE(INDEX(_xlfn.TEXTSPLIT(Table1[[#This Row],[Item]], "-"), 5))</f>
        <v>1</v>
      </c>
      <c r="G787" s="1" cm="1">
        <f t="array" ref="G787">VALUE(INDEX(_xlfn.TEXTSPLIT(Table1[[#This Row],[Item]], "-"), 6))</f>
        <v>2</v>
      </c>
      <c r="H787" s="1" cm="1">
        <f t="array" ref="H787">VALUE(INDEX(_xlfn.TEXTSPLIT(Table1[[#This Row],[Item]], "-"), 7))</f>
        <v>0</v>
      </c>
      <c r="I78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87" s="1" t="str">
        <f>LEFT(RIGHT(Table1[[#This Row],[Item]],6),1)</f>
        <v>N</v>
      </c>
      <c r="K787" s="1" t="str">
        <f t="shared" si="13"/>
        <v>N</v>
      </c>
      <c r="L787" s="1" t="str">
        <f>RIGHT(Table1[[#This Row],[Item]],2)</f>
        <v>DG</v>
      </c>
      <c r="M787" s="1" t="s">
        <v>33</v>
      </c>
      <c r="N787" s="3" t="s">
        <v>807</v>
      </c>
      <c r="O787" s="1"/>
    </row>
    <row r="788" spans="1:15" ht="15" customHeight="1">
      <c r="A788" t="s">
        <v>808</v>
      </c>
      <c r="B788" s="1" t="str">
        <f>LEFT(Table1[[#This Row],[Item]], FIND("-", Table1[[#This Row],[Item]]) - 1)</f>
        <v>GX12</v>
      </c>
      <c r="C788" s="1" t="str">
        <f>MID(LEFT(Table1[[#This Row],[Item]], FIND("{token}", SUBSTITUTE(Table1[[#This Row],[Item]], "-", "{token}", 2)) - 1), FIND("-", Table1[[#This Row],[Item]]) + 1, LEN(Table1[[#This Row],[Item]]))</f>
        <v>L</v>
      </c>
      <c r="D78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8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88" s="1" cm="1">
        <f t="array" ref="F788">VALUE(INDEX(_xlfn.TEXTSPLIT(Table1[[#This Row],[Item]], "-"), 5))</f>
        <v>2</v>
      </c>
      <c r="G788" s="1" cm="1">
        <f t="array" ref="G788">VALUE(INDEX(_xlfn.TEXTSPLIT(Table1[[#This Row],[Item]], "-"), 6))</f>
        <v>0</v>
      </c>
      <c r="H788" s="1" cm="1">
        <f t="array" ref="H788">VALUE(INDEX(_xlfn.TEXTSPLIT(Table1[[#This Row],[Item]], "-"), 7))</f>
        <v>0</v>
      </c>
      <c r="I78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88" s="1" t="str">
        <f>LEFT(RIGHT(Table1[[#This Row],[Item]],6),1)</f>
        <v>N</v>
      </c>
      <c r="K788" s="1" t="str">
        <f t="shared" si="13"/>
        <v>N</v>
      </c>
      <c r="L788" s="1" t="str">
        <f>RIGHT(Table1[[#This Row],[Item]],2)</f>
        <v>DG</v>
      </c>
      <c r="M788" s="1" t="s">
        <v>33</v>
      </c>
      <c r="N788" s="3" t="s">
        <v>808</v>
      </c>
      <c r="O788" s="1"/>
    </row>
    <row r="789" spans="1:15" ht="15" customHeight="1">
      <c r="A789" t="s">
        <v>809</v>
      </c>
      <c r="B789" s="1" t="str">
        <f>LEFT(Table1[[#This Row],[Item]], FIND("-", Table1[[#This Row],[Item]]) - 1)</f>
        <v>GX14</v>
      </c>
      <c r="C789" s="1" t="str">
        <f>MID(LEFT(Table1[[#This Row],[Item]], FIND("{token}", SUBSTITUTE(Table1[[#This Row],[Item]], "-", "{token}", 2)) - 1), FIND("-", Table1[[#This Row],[Item]]) + 1, LEN(Table1[[#This Row],[Item]]))</f>
        <v>C</v>
      </c>
      <c r="D789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78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89" s="1" cm="1">
        <f t="array" ref="F789">VALUE(INDEX(_xlfn.TEXTSPLIT(Table1[[#This Row],[Item]], "-"), 5))</f>
        <v>2</v>
      </c>
      <c r="G789" s="1" cm="1">
        <f t="array" ref="G789">VALUE(INDEX(_xlfn.TEXTSPLIT(Table1[[#This Row],[Item]], "-"), 6))</f>
        <v>2</v>
      </c>
      <c r="H789" s="1" cm="1">
        <f t="array" ref="H789">VALUE(INDEX(_xlfn.TEXTSPLIT(Table1[[#This Row],[Item]], "-"), 7))</f>
        <v>0</v>
      </c>
      <c r="I78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89" s="1" t="str">
        <f>LEFT(RIGHT(Table1[[#This Row],[Item]],6),1)</f>
        <v>N</v>
      </c>
      <c r="K789" s="1" t="str">
        <f t="shared" si="13"/>
        <v>N</v>
      </c>
      <c r="L789" s="1" t="str">
        <f>RIGHT(Table1[[#This Row],[Item]],2)</f>
        <v>DG</v>
      </c>
      <c r="M789" s="1" t="s">
        <v>33</v>
      </c>
      <c r="N789" s="3" t="s">
        <v>809</v>
      </c>
      <c r="O789" s="1"/>
    </row>
    <row r="790" spans="1:15" ht="15" customHeight="1">
      <c r="A790" t="s">
        <v>810</v>
      </c>
      <c r="B790" s="1" t="str">
        <f>LEFT(Table1[[#This Row],[Item]], FIND("-", Table1[[#This Row],[Item]]) - 1)</f>
        <v>GX14</v>
      </c>
      <c r="C790" s="1" t="str">
        <f>MID(LEFT(Table1[[#This Row],[Item]], FIND("{token}", SUBSTITUTE(Table1[[#This Row],[Item]], "-", "{token}", 2)) - 1), FIND("-", Table1[[#This Row],[Item]]) + 1, LEN(Table1[[#This Row],[Item]]))</f>
        <v>C</v>
      </c>
      <c r="D790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79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90" s="1" cm="1">
        <f t="array" ref="F790">VALUE(INDEX(_xlfn.TEXTSPLIT(Table1[[#This Row],[Item]], "-"), 5))</f>
        <v>0</v>
      </c>
      <c r="G790" s="1" cm="1">
        <f t="array" ref="G790">VALUE(INDEX(_xlfn.TEXTSPLIT(Table1[[#This Row],[Item]], "-"), 6))</f>
        <v>2</v>
      </c>
      <c r="H790" s="1" cm="1">
        <f t="array" ref="H790">VALUE(INDEX(_xlfn.TEXTSPLIT(Table1[[#This Row],[Item]], "-"), 7))</f>
        <v>0</v>
      </c>
      <c r="I79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90" s="1" t="str">
        <f>LEFT(RIGHT(Table1[[#This Row],[Item]],6),1)</f>
        <v>N</v>
      </c>
      <c r="K790" s="1" t="str">
        <f t="shared" si="13"/>
        <v>N</v>
      </c>
      <c r="L790" s="1" t="str">
        <f>RIGHT(Table1[[#This Row],[Item]],2)</f>
        <v>DG</v>
      </c>
      <c r="M790" s="1" t="s">
        <v>33</v>
      </c>
      <c r="N790" s="3" t="s">
        <v>810</v>
      </c>
      <c r="O790" s="1"/>
    </row>
    <row r="791" spans="1:15" ht="15" customHeight="1">
      <c r="A791" t="s">
        <v>811</v>
      </c>
      <c r="B791" s="1" t="str">
        <f>LEFT(Table1[[#This Row],[Item]], FIND("-", Table1[[#This Row],[Item]]) - 1)</f>
        <v>GX14</v>
      </c>
      <c r="C791" s="1" t="str">
        <f>MID(LEFT(Table1[[#This Row],[Item]], FIND("{token}", SUBSTITUTE(Table1[[#This Row],[Item]], "-", "{token}", 2)) - 1), FIND("-", Table1[[#This Row],[Item]]) + 1, LEN(Table1[[#This Row],[Item]]))</f>
        <v>CXL</v>
      </c>
      <c r="D791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79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91" s="1" cm="1">
        <f t="array" ref="F791">VALUE(INDEX(_xlfn.TEXTSPLIT(Table1[[#This Row],[Item]], "-"), 5))</f>
        <v>2</v>
      </c>
      <c r="G791" s="1" cm="1">
        <f t="array" ref="G791">VALUE(INDEX(_xlfn.TEXTSPLIT(Table1[[#This Row],[Item]], "-"), 6))</f>
        <v>2</v>
      </c>
      <c r="H791" s="1" cm="1">
        <f t="array" ref="H791">VALUE(INDEX(_xlfn.TEXTSPLIT(Table1[[#This Row],[Item]], "-"), 7))</f>
        <v>0</v>
      </c>
      <c r="I79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91" s="1" t="str">
        <f>LEFT(RIGHT(Table1[[#This Row],[Item]],6),1)</f>
        <v>N</v>
      </c>
      <c r="K791" s="1" t="str">
        <f t="shared" si="13"/>
        <v>N</v>
      </c>
      <c r="L791" s="1" t="str">
        <f>RIGHT(Table1[[#This Row],[Item]],2)</f>
        <v>DG</v>
      </c>
      <c r="M791" s="1" t="s">
        <v>33</v>
      </c>
      <c r="N791" s="3" t="s">
        <v>811</v>
      </c>
      <c r="O791" s="1"/>
    </row>
    <row r="792" spans="1:15" ht="15" customHeight="1">
      <c r="A792" t="s">
        <v>812</v>
      </c>
      <c r="B792" s="1" t="str">
        <f>LEFT(Table1[[#This Row],[Item]], FIND("-", Table1[[#This Row],[Item]]) - 1)</f>
        <v>GX14</v>
      </c>
      <c r="C792" s="1" t="str">
        <f>MID(LEFT(Table1[[#This Row],[Item]], FIND("{token}", SUBSTITUTE(Table1[[#This Row],[Item]], "-", "{token}", 2)) - 1), FIND("-", Table1[[#This Row],[Item]]) + 1, LEN(Table1[[#This Row],[Item]]))</f>
        <v>CXL</v>
      </c>
      <c r="D79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9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92" s="1" cm="1">
        <f t="array" ref="F792">VALUE(INDEX(_xlfn.TEXTSPLIT(Table1[[#This Row],[Item]], "-"), 5))</f>
        <v>1</v>
      </c>
      <c r="G792" s="1" cm="1">
        <f t="array" ref="G792">VALUE(INDEX(_xlfn.TEXTSPLIT(Table1[[#This Row],[Item]], "-"), 6))</f>
        <v>2</v>
      </c>
      <c r="H792" s="1" cm="1">
        <f t="array" ref="H792">VALUE(INDEX(_xlfn.TEXTSPLIT(Table1[[#This Row],[Item]], "-"), 7))</f>
        <v>0</v>
      </c>
      <c r="I79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92" s="1" t="str">
        <f>LEFT(RIGHT(Table1[[#This Row],[Item]],6),1)</f>
        <v>N</v>
      </c>
      <c r="K792" s="1" t="str">
        <f t="shared" si="13"/>
        <v>N</v>
      </c>
      <c r="L792" s="1" t="str">
        <f>RIGHT(Table1[[#This Row],[Item]],2)</f>
        <v>DG</v>
      </c>
      <c r="M792" s="1" t="s">
        <v>33</v>
      </c>
      <c r="N792" s="3" t="s">
        <v>812</v>
      </c>
      <c r="O792" s="1"/>
    </row>
    <row r="793" spans="1:15" ht="15" customHeight="1">
      <c r="A793" t="s">
        <v>813</v>
      </c>
      <c r="B793" s="1" t="str">
        <f>LEFT(Table1[[#This Row],[Item]], FIND("-", Table1[[#This Row],[Item]]) - 1)</f>
        <v>GX14</v>
      </c>
      <c r="C793" s="1" t="str">
        <f>MID(LEFT(Table1[[#This Row],[Item]], FIND("{token}", SUBSTITUTE(Table1[[#This Row],[Item]], "-", "{token}", 2)) - 1), FIND("-", Table1[[#This Row],[Item]]) + 1, LEN(Table1[[#This Row],[Item]]))</f>
        <v>D</v>
      </c>
      <c r="D79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9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793" s="1" cm="1">
        <f t="array" ref="F793">VALUE(INDEX(_xlfn.TEXTSPLIT(Table1[[#This Row],[Item]], "-"), 5))</f>
        <v>2</v>
      </c>
      <c r="G793" s="1" cm="1">
        <f t="array" ref="G793">VALUE(INDEX(_xlfn.TEXTSPLIT(Table1[[#This Row],[Item]], "-"), 6))</f>
        <v>0</v>
      </c>
      <c r="H793" s="1" cm="1">
        <f t="array" ref="H793">VALUE(INDEX(_xlfn.TEXTSPLIT(Table1[[#This Row],[Item]], "-"), 7))</f>
        <v>2</v>
      </c>
      <c r="I79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93" s="1" t="str">
        <f>LEFT(RIGHT(Table1[[#This Row],[Item]],6),1)</f>
        <v>N</v>
      </c>
      <c r="K793" s="1" t="str">
        <f t="shared" si="13"/>
        <v>N</v>
      </c>
      <c r="L793" s="1" t="str">
        <f>RIGHT(Table1[[#This Row],[Item]],2)</f>
        <v>DG</v>
      </c>
      <c r="M793" s="1" t="s">
        <v>33</v>
      </c>
      <c r="N793" s="3" t="s">
        <v>813</v>
      </c>
      <c r="O793" s="1"/>
    </row>
    <row r="794" spans="1:15" ht="15" customHeight="1">
      <c r="A794" t="s">
        <v>814</v>
      </c>
      <c r="B794" s="1" t="str">
        <f>LEFT(Table1[[#This Row],[Item]], FIND("-", Table1[[#This Row],[Item]]) - 1)</f>
        <v>GX14</v>
      </c>
      <c r="C794" s="1" t="str">
        <f>MID(LEFT(Table1[[#This Row],[Item]], FIND("{token}", SUBSTITUTE(Table1[[#This Row],[Item]], "-", "{token}", 2)) - 1), FIND("-", Table1[[#This Row],[Item]]) + 1, LEN(Table1[[#This Row],[Item]]))</f>
        <v>D</v>
      </c>
      <c r="D794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9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94" s="1" cm="1">
        <f t="array" ref="F794">VALUE(INDEX(_xlfn.TEXTSPLIT(Table1[[#This Row],[Item]], "-"), 5))</f>
        <v>1</v>
      </c>
      <c r="G794" s="1" cm="1">
        <f t="array" ref="G794">VALUE(INDEX(_xlfn.TEXTSPLIT(Table1[[#This Row],[Item]], "-"), 6))</f>
        <v>2</v>
      </c>
      <c r="H794" s="1" cm="1">
        <f t="array" ref="H794">VALUE(INDEX(_xlfn.TEXTSPLIT(Table1[[#This Row],[Item]], "-"), 7))</f>
        <v>0</v>
      </c>
      <c r="I79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94" s="1" t="str">
        <f>LEFT(RIGHT(Table1[[#This Row],[Item]],6),1)</f>
        <v>N</v>
      </c>
      <c r="K794" s="1" t="str">
        <f t="shared" ref="K794:K857" si="14">MID(A794, LEN(A794)-3, 1)</f>
        <v>N</v>
      </c>
      <c r="L794" s="1" t="str">
        <f>RIGHT(Table1[[#This Row],[Item]],2)</f>
        <v>DG</v>
      </c>
      <c r="M794" s="1" t="s">
        <v>33</v>
      </c>
      <c r="N794" s="3" t="s">
        <v>814</v>
      </c>
      <c r="O794" s="1"/>
    </row>
    <row r="795" spans="1:15" ht="15" customHeight="1">
      <c r="A795" t="s">
        <v>815</v>
      </c>
      <c r="B795" s="1" t="str">
        <f>LEFT(Table1[[#This Row],[Item]], FIND("-", Table1[[#This Row],[Item]]) - 1)</f>
        <v>GX14</v>
      </c>
      <c r="C795" s="1" t="str">
        <f>MID(LEFT(Table1[[#This Row],[Item]], FIND("{token}", SUBSTITUTE(Table1[[#This Row],[Item]], "-", "{token}", 2)) - 1), FIND("-", Table1[[#This Row],[Item]]) + 1, LEN(Table1[[#This Row],[Item]]))</f>
        <v>D</v>
      </c>
      <c r="D795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79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95" s="1" cm="1">
        <f t="array" ref="F795">VALUE(INDEX(_xlfn.TEXTSPLIT(Table1[[#This Row],[Item]], "-"), 5))</f>
        <v>2</v>
      </c>
      <c r="G795" s="1" cm="1">
        <f t="array" ref="G795">VALUE(INDEX(_xlfn.TEXTSPLIT(Table1[[#This Row],[Item]], "-"), 6))</f>
        <v>2</v>
      </c>
      <c r="H795" s="1" cm="1">
        <f t="array" ref="H795">VALUE(INDEX(_xlfn.TEXTSPLIT(Table1[[#This Row],[Item]], "-"), 7))</f>
        <v>0</v>
      </c>
      <c r="I79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95" s="1" t="str">
        <f>LEFT(RIGHT(Table1[[#This Row],[Item]],6),1)</f>
        <v>N</v>
      </c>
      <c r="K795" s="1" t="str">
        <f t="shared" si="14"/>
        <v>N</v>
      </c>
      <c r="L795" s="1" t="str">
        <f>RIGHT(Table1[[#This Row],[Item]],2)</f>
        <v>DG</v>
      </c>
      <c r="M795" s="1" t="s">
        <v>33</v>
      </c>
      <c r="N795" s="3" t="s">
        <v>815</v>
      </c>
      <c r="O795" s="1"/>
    </row>
    <row r="796" spans="1:15" ht="15" customHeight="1">
      <c r="A796" t="s">
        <v>816</v>
      </c>
      <c r="B796" s="1" t="str">
        <f>LEFT(Table1[[#This Row],[Item]], FIND("-", Table1[[#This Row],[Item]]) - 1)</f>
        <v>GX14</v>
      </c>
      <c r="C796" s="1" t="str">
        <f>MID(LEFT(Table1[[#This Row],[Item]], FIND("{token}", SUBSTITUTE(Table1[[#This Row],[Item]], "-", "{token}", 2)) - 1), FIND("-", Table1[[#This Row],[Item]]) + 1, LEN(Table1[[#This Row],[Item]]))</f>
        <v>D</v>
      </c>
      <c r="D796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79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796" s="1" cm="1">
        <f t="array" ref="F796">VALUE(INDEX(_xlfn.TEXTSPLIT(Table1[[#This Row],[Item]], "-"), 5))</f>
        <v>2</v>
      </c>
      <c r="G796" s="1" cm="1">
        <f t="array" ref="G796">VALUE(INDEX(_xlfn.TEXTSPLIT(Table1[[#This Row],[Item]], "-"), 6))</f>
        <v>2</v>
      </c>
      <c r="H796" s="1" cm="1">
        <f t="array" ref="H796">VALUE(INDEX(_xlfn.TEXTSPLIT(Table1[[#This Row],[Item]], "-"), 7))</f>
        <v>0</v>
      </c>
      <c r="I79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96" s="1" t="str">
        <f>LEFT(RIGHT(Table1[[#This Row],[Item]],6),1)</f>
        <v>N</v>
      </c>
      <c r="K796" s="1" t="str">
        <f t="shared" si="14"/>
        <v>N</v>
      </c>
      <c r="L796" s="1" t="str">
        <f>RIGHT(Table1[[#This Row],[Item]],2)</f>
        <v>DG</v>
      </c>
      <c r="M796" s="1" t="s">
        <v>33</v>
      </c>
      <c r="N796" s="3" t="s">
        <v>816</v>
      </c>
      <c r="O796" s="1"/>
    </row>
    <row r="797" spans="1:15" ht="15" customHeight="1">
      <c r="A797" t="s">
        <v>817</v>
      </c>
      <c r="B797" s="1" t="str">
        <f>LEFT(Table1[[#This Row],[Item]], FIND("-", Table1[[#This Row],[Item]]) - 1)</f>
        <v>GX14</v>
      </c>
      <c r="C797" s="1" t="str">
        <f>MID(LEFT(Table1[[#This Row],[Item]], FIND("{token}", SUBSTITUTE(Table1[[#This Row],[Item]], "-", "{token}", 2)) - 1), FIND("-", Table1[[#This Row],[Item]]) + 1, LEN(Table1[[#This Row],[Item]]))</f>
        <v>DXL</v>
      </c>
      <c r="D79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9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97" s="1" cm="1">
        <f t="array" ref="F797">VALUE(INDEX(_xlfn.TEXTSPLIT(Table1[[#This Row],[Item]], "-"), 5))</f>
        <v>2</v>
      </c>
      <c r="G797" s="1" cm="1">
        <f t="array" ref="G797">VALUE(INDEX(_xlfn.TEXTSPLIT(Table1[[#This Row],[Item]], "-"), 6))</f>
        <v>2</v>
      </c>
      <c r="H797" s="1" cm="1">
        <f t="array" ref="H797">VALUE(INDEX(_xlfn.TEXTSPLIT(Table1[[#This Row],[Item]], "-"), 7))</f>
        <v>1</v>
      </c>
      <c r="I79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97" s="1" t="str">
        <f>LEFT(RIGHT(Table1[[#This Row],[Item]],6),1)</f>
        <v>N</v>
      </c>
      <c r="K797" s="1" t="str">
        <f t="shared" si="14"/>
        <v>N</v>
      </c>
      <c r="L797" s="1" t="str">
        <f>RIGHT(Table1[[#This Row],[Item]],2)</f>
        <v>DG</v>
      </c>
      <c r="M797" s="1" t="s">
        <v>33</v>
      </c>
      <c r="N797" s="3" t="s">
        <v>817</v>
      </c>
      <c r="O797" s="1"/>
    </row>
    <row r="798" spans="1:15" ht="15" customHeight="1">
      <c r="A798" t="s">
        <v>818</v>
      </c>
      <c r="B798" s="1" t="str">
        <f>LEFT(Table1[[#This Row],[Item]], FIND("-", Table1[[#This Row],[Item]]) - 1)</f>
        <v>GX14</v>
      </c>
      <c r="C798" s="1" t="str">
        <f>MID(LEFT(Table1[[#This Row],[Item]], FIND("{token}", SUBSTITUTE(Table1[[#This Row],[Item]], "-", "{token}", 2)) - 1), FIND("-", Table1[[#This Row],[Item]]) + 1, LEN(Table1[[#This Row],[Item]]))</f>
        <v>L</v>
      </c>
      <c r="D79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9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98" s="1" cm="1">
        <f t="array" ref="F798">VALUE(INDEX(_xlfn.TEXTSPLIT(Table1[[#This Row],[Item]], "-"), 5))</f>
        <v>1</v>
      </c>
      <c r="G798" s="1" cm="1">
        <f t="array" ref="G798">VALUE(INDEX(_xlfn.TEXTSPLIT(Table1[[#This Row],[Item]], "-"), 6))</f>
        <v>3</v>
      </c>
      <c r="H798" s="1" cm="1">
        <f t="array" ref="H798">VALUE(INDEX(_xlfn.TEXTSPLIT(Table1[[#This Row],[Item]], "-"), 7))</f>
        <v>0</v>
      </c>
      <c r="I79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98" s="1" t="str">
        <f>LEFT(RIGHT(Table1[[#This Row],[Item]],6),1)</f>
        <v>N</v>
      </c>
      <c r="K798" s="1" t="str">
        <f t="shared" si="14"/>
        <v>N</v>
      </c>
      <c r="L798" s="1" t="str">
        <f>RIGHT(Table1[[#This Row],[Item]],2)</f>
        <v>DG</v>
      </c>
      <c r="M798" s="1" t="s">
        <v>33</v>
      </c>
      <c r="N798" s="3" t="s">
        <v>818</v>
      </c>
      <c r="O798" s="1"/>
    </row>
    <row r="799" spans="1:15" ht="15" customHeight="1">
      <c r="A799" t="s">
        <v>819</v>
      </c>
      <c r="B799" s="1" t="str">
        <f>LEFT(Table1[[#This Row],[Item]], FIND("-", Table1[[#This Row],[Item]]) - 1)</f>
        <v>GX14</v>
      </c>
      <c r="C799" s="1" t="str">
        <f>MID(LEFT(Table1[[#This Row],[Item]], FIND("{token}", SUBSTITUTE(Table1[[#This Row],[Item]], "-", "{token}", 2)) - 1), FIND("-", Table1[[#This Row],[Item]]) + 1, LEN(Table1[[#This Row],[Item]]))</f>
        <v>RXL</v>
      </c>
      <c r="D79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79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799" s="1" cm="1">
        <f t="array" ref="F799">VALUE(INDEX(_xlfn.TEXTSPLIT(Table1[[#This Row],[Item]], "-"), 5))</f>
        <v>2</v>
      </c>
      <c r="G799" s="1" cm="1">
        <f t="array" ref="G799">VALUE(INDEX(_xlfn.TEXTSPLIT(Table1[[#This Row],[Item]], "-"), 6))</f>
        <v>1</v>
      </c>
      <c r="H799" s="1" cm="1">
        <f t="array" ref="H799">VALUE(INDEX(_xlfn.TEXTSPLIT(Table1[[#This Row],[Item]], "-"), 7))</f>
        <v>1</v>
      </c>
      <c r="I79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799" s="1" t="str">
        <f>LEFT(RIGHT(Table1[[#This Row],[Item]],6),1)</f>
        <v>N</v>
      </c>
      <c r="K799" s="1" t="str">
        <f t="shared" si="14"/>
        <v>N</v>
      </c>
      <c r="L799" s="1" t="str">
        <f>RIGHT(Table1[[#This Row],[Item]],2)</f>
        <v>DG</v>
      </c>
      <c r="M799" s="1" t="s">
        <v>33</v>
      </c>
      <c r="N799" s="3" t="s">
        <v>819</v>
      </c>
      <c r="O799" s="1"/>
    </row>
    <row r="800" spans="1:15" ht="15" customHeight="1">
      <c r="A800" t="s">
        <v>820</v>
      </c>
      <c r="B800" s="1" t="str">
        <f>LEFT(Table1[[#This Row],[Item]], FIND("-", Table1[[#This Row],[Item]]) - 1)</f>
        <v>MA08</v>
      </c>
      <c r="C800" s="1" t="str">
        <f>MID(LEFT(Table1[[#This Row],[Item]], FIND("{token}", SUBSTITUTE(Table1[[#This Row],[Item]], "-", "{token}", 2)) - 1), FIND("-", Table1[[#This Row],[Item]]) + 1, LEN(Table1[[#This Row],[Item]]))</f>
        <v>C</v>
      </c>
      <c r="D80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0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00" s="1" cm="1">
        <f t="array" ref="F800">VALUE(INDEX(_xlfn.TEXTSPLIT(Table1[[#This Row],[Item]], "-"), 5))</f>
        <v>0</v>
      </c>
      <c r="G800" s="1" cm="1">
        <f t="array" ref="G800">VALUE(INDEX(_xlfn.TEXTSPLIT(Table1[[#This Row],[Item]], "-"), 6))</f>
        <v>0</v>
      </c>
      <c r="H800" s="1" cm="1">
        <f t="array" ref="H800">VALUE(INDEX(_xlfn.TEXTSPLIT(Table1[[#This Row],[Item]], "-"), 7))</f>
        <v>0</v>
      </c>
      <c r="I800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800" s="1" t="str">
        <f>LEFT(RIGHT(Table1[[#This Row],[Item]],6),1)</f>
        <v>Y</v>
      </c>
      <c r="K800" s="1" t="str">
        <f t="shared" si="14"/>
        <v>Y</v>
      </c>
      <c r="L800" s="1" t="str">
        <f>RIGHT(Table1[[#This Row],[Item]],2)</f>
        <v>DG</v>
      </c>
      <c r="M800" s="1" t="s">
        <v>33</v>
      </c>
      <c r="N800" s="3" t="s">
        <v>820</v>
      </c>
      <c r="O800" s="1"/>
    </row>
    <row r="801" spans="1:15" ht="15" customHeight="1">
      <c r="A801" t="s">
        <v>821</v>
      </c>
      <c r="B801" s="1" t="str">
        <f>LEFT(Table1[[#This Row],[Item]], FIND("-", Table1[[#This Row],[Item]]) - 1)</f>
        <v>MA08</v>
      </c>
      <c r="C801" s="1" t="str">
        <f>MID(LEFT(Table1[[#This Row],[Item]], FIND("{token}", SUBSTITUTE(Table1[[#This Row],[Item]], "-", "{token}", 2)) - 1), FIND("-", Table1[[#This Row],[Item]]) + 1, LEN(Table1[[#This Row],[Item]]))</f>
        <v>N</v>
      </c>
      <c r="D80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0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01" s="1" cm="1">
        <f t="array" ref="F801">VALUE(INDEX(_xlfn.TEXTSPLIT(Table1[[#This Row],[Item]], "-"), 5))</f>
        <v>1</v>
      </c>
      <c r="G801" s="1" cm="1">
        <f t="array" ref="G801">VALUE(INDEX(_xlfn.TEXTSPLIT(Table1[[#This Row],[Item]], "-"), 6))</f>
        <v>0</v>
      </c>
      <c r="H801" s="1" cm="1">
        <f t="array" ref="H801">VALUE(INDEX(_xlfn.TEXTSPLIT(Table1[[#This Row],[Item]], "-"), 7))</f>
        <v>0</v>
      </c>
      <c r="I801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801" s="1" t="str">
        <f>LEFT(RIGHT(Table1[[#This Row],[Item]],6),1)</f>
        <v>Y</v>
      </c>
      <c r="K801" s="1" t="str">
        <f t="shared" si="14"/>
        <v>Y</v>
      </c>
      <c r="L801" s="1" t="str">
        <f>RIGHT(Table1[[#This Row],[Item]],2)</f>
        <v>DG</v>
      </c>
      <c r="M801" s="1" t="s">
        <v>33</v>
      </c>
      <c r="N801" s="3" t="s">
        <v>821</v>
      </c>
      <c r="O801" s="1"/>
    </row>
    <row r="802" spans="1:15" ht="15" customHeight="1">
      <c r="A802" t="s">
        <v>822</v>
      </c>
      <c r="B802" s="1" t="str">
        <f>LEFT(Table1[[#This Row],[Item]], FIND("-", Table1[[#This Row],[Item]]) - 1)</f>
        <v>MA10</v>
      </c>
      <c r="C802" s="1" t="str">
        <f>MID(LEFT(Table1[[#This Row],[Item]], FIND("{token}", SUBSTITUTE(Table1[[#This Row],[Item]], "-", "{token}", 2)) - 1), FIND("-", Table1[[#This Row],[Item]]) + 1, LEN(Table1[[#This Row],[Item]]))</f>
        <v>N</v>
      </c>
      <c r="D80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0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02" s="1" cm="1">
        <f t="array" ref="F802">VALUE(INDEX(_xlfn.TEXTSPLIT(Table1[[#This Row],[Item]], "-"), 5))</f>
        <v>2</v>
      </c>
      <c r="G802" s="1" cm="1">
        <f t="array" ref="G802">VALUE(INDEX(_xlfn.TEXTSPLIT(Table1[[#This Row],[Item]], "-"), 6))</f>
        <v>0</v>
      </c>
      <c r="H802" s="1" cm="1">
        <f t="array" ref="H802">VALUE(INDEX(_xlfn.TEXTSPLIT(Table1[[#This Row],[Item]], "-"), 7))</f>
        <v>0</v>
      </c>
      <c r="I802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802" s="1" t="str">
        <f>LEFT(RIGHT(Table1[[#This Row],[Item]],6),1)</f>
        <v>N</v>
      </c>
      <c r="K802" s="1" t="str">
        <f t="shared" si="14"/>
        <v>Y</v>
      </c>
      <c r="L802" s="1" t="str">
        <f>RIGHT(Table1[[#This Row],[Item]],2)</f>
        <v>DG</v>
      </c>
      <c r="M802" s="1" t="s">
        <v>33</v>
      </c>
      <c r="N802" s="3" t="s">
        <v>822</v>
      </c>
      <c r="O802" s="1"/>
    </row>
    <row r="803" spans="1:15" ht="15" customHeight="1">
      <c r="A803" t="s">
        <v>823</v>
      </c>
      <c r="B803" s="1" t="str">
        <f>LEFT(Table1[[#This Row],[Item]], FIND("-", Table1[[#This Row],[Item]]) - 1)</f>
        <v>MA10</v>
      </c>
      <c r="C803" s="1" t="str">
        <f>MID(LEFT(Table1[[#This Row],[Item]], FIND("{token}", SUBSTITUTE(Table1[[#This Row],[Item]], "-", "{token}", 2)) - 1), FIND("-", Table1[[#This Row],[Item]]) + 1, LEN(Table1[[#This Row],[Item]]))</f>
        <v>N</v>
      </c>
      <c r="D80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0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03" s="1" cm="1">
        <f t="array" ref="F803">VALUE(INDEX(_xlfn.TEXTSPLIT(Table1[[#This Row],[Item]], "-"), 5))</f>
        <v>2</v>
      </c>
      <c r="G803" s="1" cm="1">
        <f t="array" ref="G803">VALUE(INDEX(_xlfn.TEXTSPLIT(Table1[[#This Row],[Item]], "-"), 6))</f>
        <v>0</v>
      </c>
      <c r="H803" s="1" cm="1">
        <f t="array" ref="H803">VALUE(INDEX(_xlfn.TEXTSPLIT(Table1[[#This Row],[Item]], "-"), 7))</f>
        <v>0</v>
      </c>
      <c r="I803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803" s="1" t="str">
        <f>LEFT(RIGHT(Table1[[#This Row],[Item]],6),1)</f>
        <v>Y</v>
      </c>
      <c r="K803" s="1" t="str">
        <f t="shared" si="14"/>
        <v>Y</v>
      </c>
      <c r="L803" s="1" t="str">
        <f>RIGHT(Table1[[#This Row],[Item]],2)</f>
        <v>DG</v>
      </c>
      <c r="M803" s="1" t="s">
        <v>33</v>
      </c>
      <c r="N803" s="3" t="s">
        <v>823</v>
      </c>
      <c r="O803" s="1"/>
    </row>
    <row r="804" spans="1:15" ht="15" customHeight="1">
      <c r="A804" t="s">
        <v>824</v>
      </c>
      <c r="B804" s="1" t="str">
        <f>LEFT(Table1[[#This Row],[Item]], FIND("-", Table1[[#This Row],[Item]]) - 1)</f>
        <v>MA12</v>
      </c>
      <c r="C804" s="1" t="str">
        <f>MID(LEFT(Table1[[#This Row],[Item]], FIND("{token}", SUBSTITUTE(Table1[[#This Row],[Item]], "-", "{token}", 2)) - 1), FIND("-", Table1[[#This Row],[Item]]) + 1, LEN(Table1[[#This Row],[Item]]))</f>
        <v>C</v>
      </c>
      <c r="D80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0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04" s="1" cm="1">
        <f t="array" ref="F804">VALUE(INDEX(_xlfn.TEXTSPLIT(Table1[[#This Row],[Item]], "-"), 5))</f>
        <v>2</v>
      </c>
      <c r="G804" s="1" cm="1">
        <f t="array" ref="G804">VALUE(INDEX(_xlfn.TEXTSPLIT(Table1[[#This Row],[Item]], "-"), 6))</f>
        <v>0</v>
      </c>
      <c r="H804" s="1" cm="1">
        <f t="array" ref="H804">VALUE(INDEX(_xlfn.TEXTSPLIT(Table1[[#This Row],[Item]], "-"), 7))</f>
        <v>0</v>
      </c>
      <c r="I804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804" s="1" t="str">
        <f>LEFT(RIGHT(Table1[[#This Row],[Item]],6),1)</f>
        <v>Y</v>
      </c>
      <c r="K804" s="1" t="str">
        <f t="shared" si="14"/>
        <v>Y</v>
      </c>
      <c r="L804" s="1" t="str">
        <f>RIGHT(Table1[[#This Row],[Item]],2)</f>
        <v>DG</v>
      </c>
      <c r="M804" s="1" t="s">
        <v>33</v>
      </c>
      <c r="N804" s="3" t="s">
        <v>824</v>
      </c>
      <c r="O804" s="1"/>
    </row>
    <row r="805" spans="1:15" ht="15" customHeight="1">
      <c r="A805" t="s">
        <v>825</v>
      </c>
      <c r="B805" s="1" t="str">
        <f>LEFT(Table1[[#This Row],[Item]], FIND("-", Table1[[#This Row],[Item]]) - 1)</f>
        <v>MA12</v>
      </c>
      <c r="C805" s="1" t="str">
        <f>MID(LEFT(Table1[[#This Row],[Item]], FIND("{token}", SUBSTITUTE(Table1[[#This Row],[Item]], "-", "{token}", 2)) - 1), FIND("-", Table1[[#This Row],[Item]]) + 1, LEN(Table1[[#This Row],[Item]]))</f>
        <v>D</v>
      </c>
      <c r="D805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80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805" s="1" cm="1">
        <f t="array" ref="F805">VALUE(INDEX(_xlfn.TEXTSPLIT(Table1[[#This Row],[Item]], "-"), 5))</f>
        <v>0</v>
      </c>
      <c r="G805" s="1" cm="1">
        <f t="array" ref="G805">VALUE(INDEX(_xlfn.TEXTSPLIT(Table1[[#This Row],[Item]], "-"), 6))</f>
        <v>1</v>
      </c>
      <c r="H805" s="1" cm="1">
        <f t="array" ref="H805">VALUE(INDEX(_xlfn.TEXTSPLIT(Table1[[#This Row],[Item]], "-"), 7))</f>
        <v>0</v>
      </c>
      <c r="I805" s="1" t="str">
        <f>MID(LEFT(Table1[[#This Row],[Item]], FIND("{token}", SUBSTITUTE(Table1[[#This Row],[Item]], "-", "{token}", 8)) - 1), FIND("{token}", SUBSTITUTE(Table1[[#This Row],[Item]], "-", "{token}", 7)) + 1, LEN(Table1[[#This Row],[Item]]))</f>
        <v>SPO</v>
      </c>
      <c r="J805" s="1" t="str">
        <f>LEFT(RIGHT(Table1[[#This Row],[Item]],6),1)</f>
        <v>Y</v>
      </c>
      <c r="K805" s="1" t="str">
        <f t="shared" si="14"/>
        <v>Y</v>
      </c>
      <c r="L805" s="1" t="str">
        <f>RIGHT(Table1[[#This Row],[Item]],2)</f>
        <v>DG</v>
      </c>
      <c r="M805" s="1" t="s">
        <v>33</v>
      </c>
      <c r="N805" s="3" t="s">
        <v>825</v>
      </c>
      <c r="O805" s="1"/>
    </row>
    <row r="806" spans="1:15" ht="15" customHeight="1">
      <c r="A806" t="s">
        <v>826</v>
      </c>
      <c r="B806" s="1" t="str">
        <f>LEFT(Table1[[#This Row],[Item]], FIND("-", Table1[[#This Row],[Item]]) - 1)</f>
        <v>MA12</v>
      </c>
      <c r="C806" s="1" t="str">
        <f>MID(LEFT(Table1[[#This Row],[Item]], FIND("{token}", SUBSTITUTE(Table1[[#This Row],[Item]], "-", "{token}", 2)) - 1), FIND("-", Table1[[#This Row],[Item]]) + 1, LEN(Table1[[#This Row],[Item]]))</f>
        <v>D</v>
      </c>
      <c r="D806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80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806" s="1" cm="1">
        <f t="array" ref="F806">VALUE(INDEX(_xlfn.TEXTSPLIT(Table1[[#This Row],[Item]], "-"), 5))</f>
        <v>0</v>
      </c>
      <c r="G806" s="1" cm="1">
        <f t="array" ref="G806">VALUE(INDEX(_xlfn.TEXTSPLIT(Table1[[#This Row],[Item]], "-"), 6))</f>
        <v>2</v>
      </c>
      <c r="H806" s="1" cm="1">
        <f t="array" ref="H806">VALUE(INDEX(_xlfn.TEXTSPLIT(Table1[[#This Row],[Item]], "-"), 7))</f>
        <v>0</v>
      </c>
      <c r="I806" s="1" t="str">
        <f>MID(LEFT(Table1[[#This Row],[Item]], FIND("{token}", SUBSTITUTE(Table1[[#This Row],[Item]], "-", "{token}", 8)) - 1), FIND("{token}", SUBSTITUTE(Table1[[#This Row],[Item]], "-", "{token}", 7)) + 1, LEN(Table1[[#This Row],[Item]]))</f>
        <v>SPO</v>
      </c>
      <c r="J806" s="1" t="str">
        <f>LEFT(RIGHT(Table1[[#This Row],[Item]],6),1)</f>
        <v>Y</v>
      </c>
      <c r="K806" s="1" t="str">
        <f t="shared" si="14"/>
        <v>Y</v>
      </c>
      <c r="L806" s="1" t="str">
        <f>RIGHT(Table1[[#This Row],[Item]],2)</f>
        <v>DG</v>
      </c>
      <c r="M806" s="1" t="s">
        <v>33</v>
      </c>
      <c r="N806" s="3" t="s">
        <v>825</v>
      </c>
      <c r="O806" s="1"/>
    </row>
    <row r="807" spans="1:15" ht="15" customHeight="1">
      <c r="A807" t="s">
        <v>827</v>
      </c>
      <c r="B807" s="1" t="str">
        <f>LEFT(Table1[[#This Row],[Item]], FIND("-", Table1[[#This Row],[Item]]) - 1)</f>
        <v>MA12</v>
      </c>
      <c r="C807" s="1" t="str">
        <f>MID(LEFT(Table1[[#This Row],[Item]], FIND("{token}", SUBSTITUTE(Table1[[#This Row],[Item]], "-", "{token}", 2)) - 1), FIND("-", Table1[[#This Row],[Item]]) + 1, LEN(Table1[[#This Row],[Item]]))</f>
        <v>D</v>
      </c>
      <c r="D80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0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807" s="1" cm="1">
        <f t="array" ref="F807">VALUE(INDEX(_xlfn.TEXTSPLIT(Table1[[#This Row],[Item]], "-"), 5))</f>
        <v>0</v>
      </c>
      <c r="G807" s="1" cm="1">
        <f t="array" ref="G807">VALUE(INDEX(_xlfn.TEXTSPLIT(Table1[[#This Row],[Item]], "-"), 6))</f>
        <v>1</v>
      </c>
      <c r="H807" s="1" cm="1">
        <f t="array" ref="H807">VALUE(INDEX(_xlfn.TEXTSPLIT(Table1[[#This Row],[Item]], "-"), 7))</f>
        <v>0</v>
      </c>
      <c r="I807" s="1" t="str">
        <f>MID(LEFT(Table1[[#This Row],[Item]], FIND("{token}", SUBSTITUTE(Table1[[#This Row],[Item]], "-", "{token}", 8)) - 1), FIND("{token}", SUBSTITUTE(Table1[[#This Row],[Item]], "-", "{token}", 7)) + 1, LEN(Table1[[#This Row],[Item]]))</f>
        <v>SPO</v>
      </c>
      <c r="J807" s="1" t="str">
        <f>LEFT(RIGHT(Table1[[#This Row],[Item]],6),1)</f>
        <v>Y</v>
      </c>
      <c r="K807" s="1" t="str">
        <f t="shared" si="14"/>
        <v>Y</v>
      </c>
      <c r="L807" s="1" t="str">
        <f>RIGHT(Table1[[#This Row],[Item]],2)</f>
        <v>DG</v>
      </c>
      <c r="M807" s="1" t="s">
        <v>33</v>
      </c>
      <c r="N807" s="3" t="s">
        <v>827</v>
      </c>
      <c r="O807" s="1"/>
    </row>
    <row r="808" spans="1:15" ht="15" customHeight="1">
      <c r="A808" t="s">
        <v>828</v>
      </c>
      <c r="B808" s="1" t="str">
        <f>LEFT(Table1[[#This Row],[Item]], FIND("-", Table1[[#This Row],[Item]]) - 1)</f>
        <v>MA12</v>
      </c>
      <c r="C808" s="1" t="str">
        <f>MID(LEFT(Table1[[#This Row],[Item]], FIND("{token}", SUBSTITUTE(Table1[[#This Row],[Item]], "-", "{token}", 2)) - 1), FIND("-", Table1[[#This Row],[Item]]) + 1, LEN(Table1[[#This Row],[Item]]))</f>
        <v>DXL</v>
      </c>
      <c r="D80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0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808" s="1" cm="1">
        <f t="array" ref="F808">VALUE(INDEX(_xlfn.TEXTSPLIT(Table1[[#This Row],[Item]], "-"), 5))</f>
        <v>0</v>
      </c>
      <c r="G808" s="1" cm="1">
        <f t="array" ref="G808">VALUE(INDEX(_xlfn.TEXTSPLIT(Table1[[#This Row],[Item]], "-"), 6))</f>
        <v>1</v>
      </c>
      <c r="H808" s="1" cm="1">
        <f t="array" ref="H808">VALUE(INDEX(_xlfn.TEXTSPLIT(Table1[[#This Row],[Item]], "-"), 7))</f>
        <v>0</v>
      </c>
      <c r="I808" s="1" t="str">
        <f>MID(LEFT(Table1[[#This Row],[Item]], FIND("{token}", SUBSTITUTE(Table1[[#This Row],[Item]], "-", "{token}", 8)) - 1), FIND("{token}", SUBSTITUTE(Table1[[#This Row],[Item]], "-", "{token}", 7)) + 1, LEN(Table1[[#This Row],[Item]]))</f>
        <v>SPO</v>
      </c>
      <c r="J808" s="1" t="str">
        <f>LEFT(RIGHT(Table1[[#This Row],[Item]],6),1)</f>
        <v>Y</v>
      </c>
      <c r="K808" s="1" t="str">
        <f t="shared" si="14"/>
        <v>Y</v>
      </c>
      <c r="L808" s="1" t="str">
        <f>RIGHT(Table1[[#This Row],[Item]],2)</f>
        <v>DG</v>
      </c>
      <c r="M808" s="1" t="s">
        <v>33</v>
      </c>
      <c r="N808" s="3" t="s">
        <v>828</v>
      </c>
      <c r="O808" s="1"/>
    </row>
    <row r="809" spans="1:15" ht="15" customHeight="1">
      <c r="A809" t="s">
        <v>829</v>
      </c>
      <c r="B809" s="1" t="str">
        <f>LEFT(Table1[[#This Row],[Item]], FIND("-", Table1[[#This Row],[Item]]) - 1)</f>
        <v>MA14</v>
      </c>
      <c r="C809" s="1" t="str">
        <f>MID(LEFT(Table1[[#This Row],[Item]], FIND("{token}", SUBSTITUTE(Table1[[#This Row],[Item]], "-", "{token}", 2)) - 1), FIND("-", Table1[[#This Row],[Item]]) + 1, LEN(Table1[[#This Row],[Item]]))</f>
        <v>C</v>
      </c>
      <c r="D80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0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09" s="1" cm="1">
        <f t="array" ref="F809">VALUE(INDEX(_xlfn.TEXTSPLIT(Table1[[#This Row],[Item]], "-"), 5))</f>
        <v>2</v>
      </c>
      <c r="G809" s="1" cm="1">
        <f t="array" ref="G809">VALUE(INDEX(_xlfn.TEXTSPLIT(Table1[[#This Row],[Item]], "-"), 6))</f>
        <v>0</v>
      </c>
      <c r="H809" s="1" cm="1">
        <f t="array" ref="H809">VALUE(INDEX(_xlfn.TEXTSPLIT(Table1[[#This Row],[Item]], "-"), 7))</f>
        <v>0</v>
      </c>
      <c r="I809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809" s="1" t="str">
        <f>LEFT(RIGHT(Table1[[#This Row],[Item]],6),1)</f>
        <v>Y</v>
      </c>
      <c r="K809" s="1" t="str">
        <f t="shared" si="14"/>
        <v>Y</v>
      </c>
      <c r="L809" s="1" t="str">
        <f>RIGHT(Table1[[#This Row],[Item]],2)</f>
        <v>DG</v>
      </c>
      <c r="M809" s="1" t="s">
        <v>33</v>
      </c>
      <c r="N809" s="3" t="s">
        <v>829</v>
      </c>
      <c r="O809" s="1"/>
    </row>
    <row r="810" spans="1:15" ht="15" customHeight="1">
      <c r="A810" t="s">
        <v>830</v>
      </c>
      <c r="B810" s="1" t="str">
        <f>LEFT(Table1[[#This Row],[Item]], FIND("-", Table1[[#This Row],[Item]]) - 1)</f>
        <v>MA14</v>
      </c>
      <c r="C810" s="1" t="str">
        <f>MID(LEFT(Table1[[#This Row],[Item]], FIND("{token}", SUBSTITUTE(Table1[[#This Row],[Item]], "-", "{token}", 2)) - 1), FIND("-", Table1[[#This Row],[Item]]) + 1, LEN(Table1[[#This Row],[Item]]))</f>
        <v>D</v>
      </c>
      <c r="D81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81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810" s="1" cm="1">
        <f t="array" ref="F810">VALUE(INDEX(_xlfn.TEXTSPLIT(Table1[[#This Row],[Item]], "-"), 5))</f>
        <v>0</v>
      </c>
      <c r="G810" s="1" cm="1">
        <f t="array" ref="G810">VALUE(INDEX(_xlfn.TEXTSPLIT(Table1[[#This Row],[Item]], "-"), 6))</f>
        <v>2</v>
      </c>
      <c r="H810" s="1" cm="1">
        <f t="array" ref="H810">VALUE(INDEX(_xlfn.TEXTSPLIT(Table1[[#This Row],[Item]], "-"), 7))</f>
        <v>0</v>
      </c>
      <c r="I810" s="1" t="str">
        <f>MID(LEFT(Table1[[#This Row],[Item]], FIND("{token}", SUBSTITUTE(Table1[[#This Row],[Item]], "-", "{token}", 8)) - 1), FIND("{token}", SUBSTITUTE(Table1[[#This Row],[Item]], "-", "{token}", 7)) + 1, LEN(Table1[[#This Row],[Item]]))</f>
        <v>SPO</v>
      </c>
      <c r="J810" s="1" t="str">
        <f>LEFT(RIGHT(Table1[[#This Row],[Item]],6),1)</f>
        <v>Y</v>
      </c>
      <c r="K810" s="1" t="str">
        <f t="shared" si="14"/>
        <v>Y</v>
      </c>
      <c r="L810" s="1" t="str">
        <f>RIGHT(Table1[[#This Row],[Item]],2)</f>
        <v>DG</v>
      </c>
      <c r="M810" s="1" t="s">
        <v>33</v>
      </c>
      <c r="N810" s="3" t="s">
        <v>830</v>
      </c>
      <c r="O810" s="1"/>
    </row>
    <row r="811" spans="1:15" ht="15" customHeight="1">
      <c r="A811" t="s">
        <v>831</v>
      </c>
      <c r="B811" s="1" t="str">
        <f>LEFT(Table1[[#This Row],[Item]], FIND("-", Table1[[#This Row],[Item]]) - 1)</f>
        <v>MA14</v>
      </c>
      <c r="C811" s="1" t="str">
        <f>MID(LEFT(Table1[[#This Row],[Item]], FIND("{token}", SUBSTITUTE(Table1[[#This Row],[Item]], "-", "{token}", 2)) - 1), FIND("-", Table1[[#This Row],[Item]]) + 1, LEN(Table1[[#This Row],[Item]]))</f>
        <v>D</v>
      </c>
      <c r="D81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81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811" s="1" cm="1">
        <f t="array" ref="F811">VALUE(INDEX(_xlfn.TEXTSPLIT(Table1[[#This Row],[Item]], "-"), 5))</f>
        <v>0</v>
      </c>
      <c r="G811" s="1" cm="1">
        <f t="array" ref="G811">VALUE(INDEX(_xlfn.TEXTSPLIT(Table1[[#This Row],[Item]], "-"), 6))</f>
        <v>2</v>
      </c>
      <c r="H811" s="1" cm="1">
        <f t="array" ref="H811">VALUE(INDEX(_xlfn.TEXTSPLIT(Table1[[#This Row],[Item]], "-"), 7))</f>
        <v>0</v>
      </c>
      <c r="I811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811" s="1" t="str">
        <f>LEFT(RIGHT(Table1[[#This Row],[Item]],6),1)</f>
        <v>Y</v>
      </c>
      <c r="K811" s="1" t="str">
        <f t="shared" si="14"/>
        <v>Y</v>
      </c>
      <c r="L811" s="1" t="str">
        <f>RIGHT(Table1[[#This Row],[Item]],2)</f>
        <v>DG</v>
      </c>
      <c r="M811" s="1" t="s">
        <v>33</v>
      </c>
      <c r="N811" s="3" t="s">
        <v>831</v>
      </c>
      <c r="O811" s="1"/>
    </row>
    <row r="812" spans="1:15" ht="15" customHeight="1">
      <c r="A812" t="s">
        <v>832</v>
      </c>
      <c r="B812" s="1" t="str">
        <f>LEFT(Table1[[#This Row],[Item]], FIND("-", Table1[[#This Row],[Item]]) - 1)</f>
        <v>MA14</v>
      </c>
      <c r="C812" s="1" t="str">
        <f>MID(LEFT(Table1[[#This Row],[Item]], FIND("{token}", SUBSTITUTE(Table1[[#This Row],[Item]], "-", "{token}", 2)) - 1), FIND("-", Table1[[#This Row],[Item]]) + 1, LEN(Table1[[#This Row],[Item]]))</f>
        <v>DXL</v>
      </c>
      <c r="D81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1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812" s="1" cm="1">
        <f t="array" ref="F812">VALUE(INDEX(_xlfn.TEXTSPLIT(Table1[[#This Row],[Item]], "-"), 5))</f>
        <v>0</v>
      </c>
      <c r="G812" s="1" cm="1">
        <f t="array" ref="G812">VALUE(INDEX(_xlfn.TEXTSPLIT(Table1[[#This Row],[Item]], "-"), 6))</f>
        <v>2</v>
      </c>
      <c r="H812" s="1" cm="1">
        <f t="array" ref="H812">VALUE(INDEX(_xlfn.TEXTSPLIT(Table1[[#This Row],[Item]], "-"), 7))</f>
        <v>0</v>
      </c>
      <c r="I812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812" s="1" t="str">
        <f>LEFT(RIGHT(Table1[[#This Row],[Item]],6),1)</f>
        <v>Y</v>
      </c>
      <c r="K812" s="1" t="str">
        <f t="shared" si="14"/>
        <v>Y</v>
      </c>
      <c r="L812" s="1" t="str">
        <f>RIGHT(Table1[[#This Row],[Item]],2)</f>
        <v>DG</v>
      </c>
      <c r="M812" s="1" t="s">
        <v>33</v>
      </c>
      <c r="N812" s="3" t="s">
        <v>832</v>
      </c>
      <c r="O812" s="1"/>
    </row>
    <row r="813" spans="1:15" ht="15" customHeight="1">
      <c r="A813" t="s">
        <v>833</v>
      </c>
      <c r="B813" s="1" t="str">
        <f>LEFT(Table1[[#This Row],[Item]], FIND("-", Table1[[#This Row],[Item]]) - 1)</f>
        <v>STC8</v>
      </c>
      <c r="C813" s="1" t="str">
        <f>MID(LEFT(Table1[[#This Row],[Item]], FIND("{token}", SUBSTITUTE(Table1[[#This Row],[Item]], "-", "{token}", 2)) - 1), FIND("-", Table1[[#This Row],[Item]]) + 1, LEN(Table1[[#This Row],[Item]]))</f>
        <v>N</v>
      </c>
      <c r="D81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1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13" s="1" cm="1">
        <f t="array" ref="F813">VALUE(INDEX(_xlfn.TEXTSPLIT(Table1[[#This Row],[Item]], "-"), 5))</f>
        <v>1</v>
      </c>
      <c r="G813" s="1" cm="1">
        <f t="array" ref="G813">VALUE(INDEX(_xlfn.TEXTSPLIT(Table1[[#This Row],[Item]], "-"), 6))</f>
        <v>0</v>
      </c>
      <c r="H813" s="1" cm="1">
        <f t="array" ref="H813">VALUE(INDEX(_xlfn.TEXTSPLIT(Table1[[#This Row],[Item]], "-"), 7))</f>
        <v>0</v>
      </c>
      <c r="I813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813" s="1" t="str">
        <f>LEFT(RIGHT(Table1[[#This Row],[Item]],6),1)</f>
        <v>N</v>
      </c>
      <c r="K813" s="1" t="str">
        <f t="shared" si="14"/>
        <v>Y</v>
      </c>
      <c r="L813" s="1" t="str">
        <f>RIGHT(Table1[[#This Row],[Item]],2)</f>
        <v>DG</v>
      </c>
      <c r="M813" s="1" t="s">
        <v>33</v>
      </c>
      <c r="N813" s="3" t="s">
        <v>833</v>
      </c>
      <c r="O813" s="1"/>
    </row>
    <row r="814" spans="1:15" ht="15" customHeight="1">
      <c r="A814" t="s">
        <v>834</v>
      </c>
      <c r="B814" s="1" t="str">
        <f>LEFT(Table1[[#This Row],[Item]], FIND("-", Table1[[#This Row],[Item]]) - 1)</f>
        <v>STC8</v>
      </c>
      <c r="C814" s="1" t="str">
        <f>MID(LEFT(Table1[[#This Row],[Item]], FIND("{token}", SUBSTITUTE(Table1[[#This Row],[Item]], "-", "{token}", 2)) - 1), FIND("-", Table1[[#This Row],[Item]]) + 1, LEN(Table1[[#This Row],[Item]]))</f>
        <v>N</v>
      </c>
      <c r="D81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1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14" s="1" cm="1">
        <f t="array" ref="F814">VALUE(INDEX(_xlfn.TEXTSPLIT(Table1[[#This Row],[Item]], "-"), 5))</f>
        <v>1</v>
      </c>
      <c r="G814" s="1" cm="1">
        <f t="array" ref="G814">VALUE(INDEX(_xlfn.TEXTSPLIT(Table1[[#This Row],[Item]], "-"), 6))</f>
        <v>0</v>
      </c>
      <c r="H814" s="1" cm="1">
        <f t="array" ref="H814">VALUE(INDEX(_xlfn.TEXTSPLIT(Table1[[#This Row],[Item]], "-"), 7))</f>
        <v>0</v>
      </c>
      <c r="I814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814" s="1" t="str">
        <f>LEFT(RIGHT(Table1[[#This Row],[Item]],6),1)</f>
        <v>Y</v>
      </c>
      <c r="K814" s="1" t="str">
        <f t="shared" si="14"/>
        <v>Y</v>
      </c>
      <c r="L814" s="1" t="str">
        <f>RIGHT(Table1[[#This Row],[Item]],2)</f>
        <v>DG</v>
      </c>
      <c r="M814" s="1" t="s">
        <v>33</v>
      </c>
      <c r="N814" s="3" t="s">
        <v>834</v>
      </c>
      <c r="O814" s="1"/>
    </row>
    <row r="815" spans="1:15" ht="15" customHeight="1">
      <c r="A815" t="s">
        <v>835</v>
      </c>
      <c r="B815" s="1" t="str">
        <f>LEFT(Table1[[#This Row],[Item]], FIND("-", Table1[[#This Row],[Item]]) - 1)</f>
        <v>STC9</v>
      </c>
      <c r="C815" s="1" t="str">
        <f>MID(LEFT(Table1[[#This Row],[Item]], FIND("{token}", SUBSTITUTE(Table1[[#This Row],[Item]], "-", "{token}", 2)) - 1), FIND("-", Table1[[#This Row],[Item]]) + 1, LEN(Table1[[#This Row],[Item]]))</f>
        <v>C</v>
      </c>
      <c r="D81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1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15" s="1" cm="1">
        <f t="array" ref="F815">VALUE(INDEX(_xlfn.TEXTSPLIT(Table1[[#This Row],[Item]], "-"), 5))</f>
        <v>0</v>
      </c>
      <c r="G815" s="1" cm="1">
        <f t="array" ref="G815">VALUE(INDEX(_xlfn.TEXTSPLIT(Table1[[#This Row],[Item]], "-"), 6))</f>
        <v>0</v>
      </c>
      <c r="H815" s="1" cm="1">
        <f t="array" ref="H815">VALUE(INDEX(_xlfn.TEXTSPLIT(Table1[[#This Row],[Item]], "-"), 7))</f>
        <v>0</v>
      </c>
      <c r="I815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815" s="1" t="str">
        <f>LEFT(RIGHT(Table1[[#This Row],[Item]],6),1)</f>
        <v>Y</v>
      </c>
      <c r="K815" s="1" t="str">
        <f t="shared" si="14"/>
        <v>Y</v>
      </c>
      <c r="L815" s="1" t="str">
        <f>RIGHT(Table1[[#This Row],[Item]],2)</f>
        <v>DG</v>
      </c>
      <c r="M815" s="1" t="s">
        <v>33</v>
      </c>
      <c r="N815" s="3" t="s">
        <v>835</v>
      </c>
      <c r="O815" s="1"/>
    </row>
    <row r="816" spans="1:15" ht="15" customHeight="1">
      <c r="A816" t="s">
        <v>836</v>
      </c>
      <c r="B816" s="1" t="str">
        <f>LEFT(Table1[[#This Row],[Item]], FIND("-", Table1[[#This Row],[Item]]) - 1)</f>
        <v>STC9</v>
      </c>
      <c r="C816" s="1" t="str">
        <f>MID(LEFT(Table1[[#This Row],[Item]], FIND("{token}", SUBSTITUTE(Table1[[#This Row],[Item]], "-", "{token}", 2)) - 1), FIND("-", Table1[[#This Row],[Item]]) + 1, LEN(Table1[[#This Row],[Item]]))</f>
        <v>N</v>
      </c>
      <c r="D81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1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16" s="1" cm="1">
        <f t="array" ref="F816">VALUE(INDEX(_xlfn.TEXTSPLIT(Table1[[#This Row],[Item]], "-"), 5))</f>
        <v>2</v>
      </c>
      <c r="G816" s="1" cm="1">
        <f t="array" ref="G816">VALUE(INDEX(_xlfn.TEXTSPLIT(Table1[[#This Row],[Item]], "-"), 6))</f>
        <v>0</v>
      </c>
      <c r="H816" s="1" cm="1">
        <f t="array" ref="H816">VALUE(INDEX(_xlfn.TEXTSPLIT(Table1[[#This Row],[Item]], "-"), 7))</f>
        <v>0</v>
      </c>
      <c r="I816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816" s="1" t="str">
        <f>LEFT(RIGHT(Table1[[#This Row],[Item]],6),1)</f>
        <v>Y</v>
      </c>
      <c r="K816" s="1" t="str">
        <f t="shared" si="14"/>
        <v>Y</v>
      </c>
      <c r="L816" s="1" t="str">
        <f>RIGHT(Table1[[#This Row],[Item]],2)</f>
        <v>DG</v>
      </c>
      <c r="M816" s="1" t="s">
        <v>33</v>
      </c>
      <c r="N816" s="3" t="s">
        <v>836</v>
      </c>
      <c r="O816" s="1"/>
    </row>
    <row r="817" spans="1:15" ht="15" customHeight="1">
      <c r="A817" t="s">
        <v>837</v>
      </c>
      <c r="B817" s="1" t="str">
        <f>LEFT(Table1[[#This Row],[Item]], FIND("-", Table1[[#This Row],[Item]]) - 1)</f>
        <v>STR9</v>
      </c>
      <c r="C817" s="1" t="str">
        <f>MID(LEFT(Table1[[#This Row],[Item]], FIND("{token}", SUBSTITUTE(Table1[[#This Row],[Item]], "-", "{token}", 2)) - 1), FIND("-", Table1[[#This Row],[Item]]) + 1, LEN(Table1[[#This Row],[Item]]))</f>
        <v>N</v>
      </c>
      <c r="D81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1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17" s="1" cm="1">
        <f t="array" ref="F817">VALUE(INDEX(_xlfn.TEXTSPLIT(Table1[[#This Row],[Item]], "-"), 5))</f>
        <v>0</v>
      </c>
      <c r="G817" s="1" cm="1">
        <f t="array" ref="G817">VALUE(INDEX(_xlfn.TEXTSPLIT(Table1[[#This Row],[Item]], "-"), 6))</f>
        <v>0</v>
      </c>
      <c r="H817" s="1" cm="1">
        <f t="array" ref="H817">VALUE(INDEX(_xlfn.TEXTSPLIT(Table1[[#This Row],[Item]], "-"), 7))</f>
        <v>0</v>
      </c>
      <c r="I81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17" s="1" t="str">
        <f>LEFT(RIGHT(Table1[[#This Row],[Item]],6),1)</f>
        <v>Y</v>
      </c>
      <c r="K817" s="1" t="str">
        <f t="shared" si="14"/>
        <v>N</v>
      </c>
      <c r="L817" s="1" t="str">
        <f>RIGHT(Table1[[#This Row],[Item]],2)</f>
        <v>DG</v>
      </c>
      <c r="M817" s="1" t="s">
        <v>33</v>
      </c>
      <c r="N817" s="3" t="s">
        <v>837</v>
      </c>
      <c r="O817" s="1"/>
    </row>
    <row r="818" spans="1:15" ht="15" customHeight="1">
      <c r="A818" t="s">
        <v>838</v>
      </c>
      <c r="B818" s="1" t="str">
        <f>LEFT(Table1[[#This Row],[Item]], FIND("-", Table1[[#This Row],[Item]]) - 1)</f>
        <v>STT7</v>
      </c>
      <c r="C818" s="1" t="str">
        <f>MID(LEFT(Table1[[#This Row],[Item]], FIND("{token}", SUBSTITUTE(Table1[[#This Row],[Item]], "-", "{token}", 2)) - 1), FIND("-", Table1[[#This Row],[Item]]) + 1, LEN(Table1[[#This Row],[Item]]))</f>
        <v>N</v>
      </c>
      <c r="D81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1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18" s="1" cm="1">
        <f t="array" ref="F818">VALUE(INDEX(_xlfn.TEXTSPLIT(Table1[[#This Row],[Item]], "-"), 5))</f>
        <v>0</v>
      </c>
      <c r="G818" s="1" cm="1">
        <f t="array" ref="G818">VALUE(INDEX(_xlfn.TEXTSPLIT(Table1[[#This Row],[Item]], "-"), 6))</f>
        <v>0</v>
      </c>
      <c r="H818" s="1" cm="1">
        <f t="array" ref="H818">VALUE(INDEX(_xlfn.TEXTSPLIT(Table1[[#This Row],[Item]], "-"), 7))</f>
        <v>0</v>
      </c>
      <c r="I818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818" s="1" t="str">
        <f>LEFT(RIGHT(Table1[[#This Row],[Item]],6),1)</f>
        <v>Y</v>
      </c>
      <c r="K818" s="1" t="str">
        <f t="shared" si="14"/>
        <v>N</v>
      </c>
      <c r="L818" s="1" t="str">
        <f>RIGHT(Table1[[#This Row],[Item]],2)</f>
        <v>DG</v>
      </c>
      <c r="M818" s="1" t="s">
        <v>33</v>
      </c>
      <c r="N818" s="3" t="s">
        <v>838</v>
      </c>
      <c r="O818" s="1"/>
    </row>
    <row r="819" spans="1:15" ht="15" customHeight="1">
      <c r="A819" t="s">
        <v>839</v>
      </c>
      <c r="B819" s="1" t="str">
        <f>LEFT(Table1[[#This Row],[Item]], FIND("-", Table1[[#This Row],[Item]]) - 1)</f>
        <v>STT7</v>
      </c>
      <c r="C819" s="1" t="str">
        <f>MID(LEFT(Table1[[#This Row],[Item]], FIND("{token}", SUBSTITUTE(Table1[[#This Row],[Item]], "-", "{token}", 2)) - 1), FIND("-", Table1[[#This Row],[Item]]) + 1, LEN(Table1[[#This Row],[Item]]))</f>
        <v>N</v>
      </c>
      <c r="D81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1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19" s="1" cm="1">
        <f t="array" ref="F819">VALUE(INDEX(_xlfn.TEXTSPLIT(Table1[[#This Row],[Item]], "-"), 5))</f>
        <v>0</v>
      </c>
      <c r="G819" s="1" cm="1">
        <f t="array" ref="G819">VALUE(INDEX(_xlfn.TEXTSPLIT(Table1[[#This Row],[Item]], "-"), 6))</f>
        <v>0</v>
      </c>
      <c r="H819" s="1" cm="1">
        <f t="array" ref="H819">VALUE(INDEX(_xlfn.TEXTSPLIT(Table1[[#This Row],[Item]], "-"), 7))</f>
        <v>0</v>
      </c>
      <c r="I819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819" s="1" t="str">
        <f>LEFT(RIGHT(Table1[[#This Row],[Item]],6),1)</f>
        <v>Y</v>
      </c>
      <c r="K819" s="1" t="str">
        <f t="shared" si="14"/>
        <v>Y</v>
      </c>
      <c r="L819" s="1" t="str">
        <f>RIGHT(Table1[[#This Row],[Item]],2)</f>
        <v>DG</v>
      </c>
      <c r="M819" s="1" t="s">
        <v>33</v>
      </c>
      <c r="N819" s="3" t="s">
        <v>839</v>
      </c>
      <c r="O819" s="1"/>
    </row>
    <row r="820" spans="1:15" ht="15" customHeight="1">
      <c r="A820" t="s">
        <v>840</v>
      </c>
      <c r="B820" s="1" t="str">
        <f>LEFT(Table1[[#This Row],[Item]], FIND("-", Table1[[#This Row],[Item]]) - 1)</f>
        <v>STT9</v>
      </c>
      <c r="C820" s="1" t="str">
        <f>MID(LEFT(Table1[[#This Row],[Item]], FIND("{token}", SUBSTITUTE(Table1[[#This Row],[Item]], "-", "{token}", 2)) - 1), FIND("-", Table1[[#This Row],[Item]]) + 1, LEN(Table1[[#This Row],[Item]]))</f>
        <v>N</v>
      </c>
      <c r="D82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2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20" s="1" cm="1">
        <f t="array" ref="F820">VALUE(INDEX(_xlfn.TEXTSPLIT(Table1[[#This Row],[Item]], "-"), 5))</f>
        <v>0</v>
      </c>
      <c r="G820" s="1" cm="1">
        <f t="array" ref="G820">VALUE(INDEX(_xlfn.TEXTSPLIT(Table1[[#This Row],[Item]], "-"), 6))</f>
        <v>0</v>
      </c>
      <c r="H820" s="1" cm="1">
        <f t="array" ref="H820">VALUE(INDEX(_xlfn.TEXTSPLIT(Table1[[#This Row],[Item]], "-"), 7))</f>
        <v>0</v>
      </c>
      <c r="I820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820" s="1" t="str">
        <f>LEFT(RIGHT(Table1[[#This Row],[Item]],6),1)</f>
        <v>Y</v>
      </c>
      <c r="K820" s="1" t="str">
        <f t="shared" si="14"/>
        <v>Y</v>
      </c>
      <c r="L820" s="1" t="str">
        <f>RIGHT(Table1[[#This Row],[Item]],2)</f>
        <v>DG</v>
      </c>
      <c r="M820" s="1" t="s">
        <v>33</v>
      </c>
      <c r="N820" s="3" t="s">
        <v>840</v>
      </c>
      <c r="O820" s="1"/>
    </row>
    <row r="821" spans="1:15" ht="15" customHeight="1">
      <c r="A821" t="s">
        <v>841</v>
      </c>
      <c r="B821" s="1" t="str">
        <f>LEFT(Table1[[#This Row],[Item]], FIND("-", Table1[[#This Row],[Item]]) - 1)</f>
        <v>GX09</v>
      </c>
      <c r="C821" s="1" t="str">
        <f>MID(LEFT(Table1[[#This Row],[Item]], FIND("{token}", SUBSTITUTE(Table1[[#This Row],[Item]], "-", "{token}", 2)) - 1), FIND("-", Table1[[#This Row],[Item]]) + 1, LEN(Table1[[#This Row],[Item]]))</f>
        <v>RXL</v>
      </c>
      <c r="D82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2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21" s="1" cm="1">
        <f t="array" ref="F821">VALUE(INDEX(_xlfn.TEXTSPLIT(Table1[[#This Row],[Item]], "-"), 5))</f>
        <v>1</v>
      </c>
      <c r="G821" s="1" cm="1">
        <f t="array" ref="G821">VALUE(INDEX(_xlfn.TEXTSPLIT(Table1[[#This Row],[Item]], "-"), 6))</f>
        <v>1</v>
      </c>
      <c r="H821" s="1" cm="1">
        <f t="array" ref="H821">VALUE(INDEX(_xlfn.TEXTSPLIT(Table1[[#This Row],[Item]], "-"), 7))</f>
        <v>0</v>
      </c>
      <c r="I82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21" s="1" t="str">
        <f>LEFT(RIGHT(Table1[[#This Row],[Item]],6),1)</f>
        <v>N</v>
      </c>
      <c r="K821" s="1" t="str">
        <f t="shared" si="14"/>
        <v>N</v>
      </c>
      <c r="L821" s="1" t="str">
        <f>RIGHT(Table1[[#This Row],[Item]],2)</f>
        <v>DG</v>
      </c>
      <c r="M821" s="1" t="s">
        <v>33</v>
      </c>
      <c r="N821" s="3" t="s">
        <v>841</v>
      </c>
      <c r="O821" s="1"/>
    </row>
    <row r="822" spans="1:15" ht="15" customHeight="1">
      <c r="A822" t="s">
        <v>842</v>
      </c>
      <c r="B822" s="1" t="str">
        <f>LEFT(Table1[[#This Row],[Item]], FIND("-", Table1[[#This Row],[Item]]) - 1)</f>
        <v>GX09</v>
      </c>
      <c r="C822" s="1" t="str">
        <f>MID(LEFT(Table1[[#This Row],[Item]], FIND("{token}", SUBSTITUTE(Table1[[#This Row],[Item]], "-", "{token}", 2)) - 1), FIND("-", Table1[[#This Row],[Item]]) + 1, LEN(Table1[[#This Row],[Item]]))</f>
        <v>DXL</v>
      </c>
      <c r="D82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2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22" s="1" cm="1">
        <f t="array" ref="F822">VALUE(INDEX(_xlfn.TEXTSPLIT(Table1[[#This Row],[Item]], "-"), 5))</f>
        <v>0</v>
      </c>
      <c r="G822" s="1" cm="1">
        <f t="array" ref="G822">VALUE(INDEX(_xlfn.TEXTSPLIT(Table1[[#This Row],[Item]], "-"), 6))</f>
        <v>1</v>
      </c>
      <c r="H822" s="1" cm="1">
        <f t="array" ref="H822">VALUE(INDEX(_xlfn.TEXTSPLIT(Table1[[#This Row],[Item]], "-"), 7))</f>
        <v>1</v>
      </c>
      <c r="I82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22" s="1" t="str">
        <f>LEFT(RIGHT(Table1[[#This Row],[Item]],6),1)</f>
        <v>N</v>
      </c>
      <c r="K822" s="1" t="str">
        <f t="shared" si="14"/>
        <v>N</v>
      </c>
      <c r="L822" s="1" t="str">
        <f>RIGHT(Table1[[#This Row],[Item]],2)</f>
        <v>DG</v>
      </c>
      <c r="M822" s="1" t="s">
        <v>33</v>
      </c>
      <c r="N822" s="3" t="s">
        <v>842</v>
      </c>
      <c r="O822" s="1"/>
    </row>
    <row r="823" spans="1:15" ht="15" customHeight="1">
      <c r="A823" t="s">
        <v>843</v>
      </c>
      <c r="B823" s="1" t="str">
        <f>LEFT(Table1[[#This Row],[Item]], FIND("-", Table1[[#This Row],[Item]]) - 1)</f>
        <v>GX10</v>
      </c>
      <c r="C823" s="1" t="str">
        <f>MID(LEFT(Table1[[#This Row],[Item]], FIND("{token}", SUBSTITUTE(Table1[[#This Row],[Item]], "-", "{token}", 2)) - 1), FIND("-", Table1[[#This Row],[Item]]) + 1, LEN(Table1[[#This Row],[Item]]))</f>
        <v>CXL</v>
      </c>
      <c r="D823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82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23" s="1" cm="1">
        <f t="array" ref="F823">VALUE(INDEX(_xlfn.TEXTSPLIT(Table1[[#This Row],[Item]], "-"), 5))</f>
        <v>1</v>
      </c>
      <c r="G823" s="1" cm="1">
        <f t="array" ref="G823">VALUE(INDEX(_xlfn.TEXTSPLIT(Table1[[#This Row],[Item]], "-"), 6))</f>
        <v>2</v>
      </c>
      <c r="H823" s="1" cm="1">
        <f t="array" ref="H823">VALUE(INDEX(_xlfn.TEXTSPLIT(Table1[[#This Row],[Item]], "-"), 7))</f>
        <v>1</v>
      </c>
      <c r="I82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23" s="1" t="str">
        <f>LEFT(RIGHT(Table1[[#This Row],[Item]],6),1)</f>
        <v>N</v>
      </c>
      <c r="K823" s="1" t="str">
        <f t="shared" si="14"/>
        <v>N</v>
      </c>
      <c r="L823" s="1" t="str">
        <f>RIGHT(Table1[[#This Row],[Item]],2)</f>
        <v>DG</v>
      </c>
      <c r="M823" s="1" t="s">
        <v>33</v>
      </c>
      <c r="N823" s="3" t="s">
        <v>843</v>
      </c>
      <c r="O823" s="1"/>
    </row>
    <row r="824" spans="1:15" ht="15" customHeight="1">
      <c r="A824" t="s">
        <v>844</v>
      </c>
      <c r="B824" s="1" t="str">
        <f>LEFT(Table1[[#This Row],[Item]], FIND("-", Table1[[#This Row],[Item]]) - 1)</f>
        <v>GX12</v>
      </c>
      <c r="C824" s="1" t="str">
        <f>MID(LEFT(Table1[[#This Row],[Item]], FIND("{token}", SUBSTITUTE(Table1[[#This Row],[Item]], "-", "{token}", 2)) - 1), FIND("-", Table1[[#This Row],[Item]]) + 1, LEN(Table1[[#This Row],[Item]]))</f>
        <v>CXL</v>
      </c>
      <c r="D82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2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24" s="1" cm="1">
        <f t="array" ref="F824">VALUE(INDEX(_xlfn.TEXTSPLIT(Table1[[#This Row],[Item]], "-"), 5))</f>
        <v>2</v>
      </c>
      <c r="G824" s="1" cm="1">
        <f t="array" ref="G824">VALUE(INDEX(_xlfn.TEXTSPLIT(Table1[[#This Row],[Item]], "-"), 6))</f>
        <v>1</v>
      </c>
      <c r="H824" s="1" cm="1">
        <f t="array" ref="H824">VALUE(INDEX(_xlfn.TEXTSPLIT(Table1[[#This Row],[Item]], "-"), 7))</f>
        <v>1</v>
      </c>
      <c r="I82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24" s="1" t="str">
        <f>LEFT(RIGHT(Table1[[#This Row],[Item]],6),1)</f>
        <v>N</v>
      </c>
      <c r="K824" s="1" t="str">
        <f t="shared" si="14"/>
        <v>N</v>
      </c>
      <c r="L824" s="1" t="str">
        <f>RIGHT(Table1[[#This Row],[Item]],2)</f>
        <v>DG</v>
      </c>
      <c r="M824" s="1" t="s">
        <v>33</v>
      </c>
      <c r="N824" s="3" t="s">
        <v>844</v>
      </c>
      <c r="O824" s="1"/>
    </row>
    <row r="825" spans="1:15" ht="15" customHeight="1">
      <c r="A825" t="s">
        <v>845</v>
      </c>
      <c r="B825" s="1" t="str">
        <f>LEFT(Table1[[#This Row],[Item]], FIND("-", Table1[[#This Row],[Item]]) - 1)</f>
        <v>GX10</v>
      </c>
      <c r="C825" s="1" t="str">
        <f>MID(LEFT(Table1[[#This Row],[Item]], FIND("{token}", SUBSTITUTE(Table1[[#This Row],[Item]], "-", "{token}", 2)) - 1), FIND("-", Table1[[#This Row],[Item]]) + 1, LEN(Table1[[#This Row],[Item]]))</f>
        <v>CXL</v>
      </c>
      <c r="D825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82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25" s="1" cm="1">
        <f t="array" ref="F825">VALUE(INDEX(_xlfn.TEXTSPLIT(Table1[[#This Row],[Item]], "-"), 5))</f>
        <v>1</v>
      </c>
      <c r="G825" s="1" cm="1">
        <f t="array" ref="G825">VALUE(INDEX(_xlfn.TEXTSPLIT(Table1[[#This Row],[Item]], "-"), 6))</f>
        <v>1</v>
      </c>
      <c r="H825" s="1" cm="1">
        <f t="array" ref="H825">VALUE(INDEX(_xlfn.TEXTSPLIT(Table1[[#This Row],[Item]], "-"), 7))</f>
        <v>0</v>
      </c>
      <c r="I82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25" s="1" t="str">
        <f>LEFT(RIGHT(Table1[[#This Row],[Item]],6),1)</f>
        <v>N</v>
      </c>
      <c r="K825" s="1" t="str">
        <f t="shared" si="14"/>
        <v>N</v>
      </c>
      <c r="L825" s="1" t="str">
        <f>RIGHT(Table1[[#This Row],[Item]],2)</f>
        <v>DG</v>
      </c>
      <c r="M825" s="1" t="s">
        <v>33</v>
      </c>
      <c r="N825" s="3" t="s">
        <v>845</v>
      </c>
      <c r="O825" s="1"/>
    </row>
    <row r="826" spans="1:15" ht="15" customHeight="1">
      <c r="A826" t="s">
        <v>846</v>
      </c>
      <c r="B826" s="1" t="str">
        <f>LEFT(Table1[[#This Row],[Item]], FIND("-", Table1[[#This Row],[Item]]) - 1)</f>
        <v>GX12</v>
      </c>
      <c r="C826" s="1" t="str">
        <f>MID(LEFT(Table1[[#This Row],[Item]], FIND("{token}", SUBSTITUTE(Table1[[#This Row],[Item]], "-", "{token}", 2)) - 1), FIND("-", Table1[[#This Row],[Item]]) + 1, LEN(Table1[[#This Row],[Item]]))</f>
        <v>C</v>
      </c>
      <c r="D82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2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26" s="1" cm="1">
        <f t="array" ref="F826">VALUE(INDEX(_xlfn.TEXTSPLIT(Table1[[#This Row],[Item]], "-"), 5))</f>
        <v>1</v>
      </c>
      <c r="G826" s="1" cm="1">
        <f t="array" ref="G826">VALUE(INDEX(_xlfn.TEXTSPLIT(Table1[[#This Row],[Item]], "-"), 6))</f>
        <v>2</v>
      </c>
      <c r="H826" s="1" cm="1">
        <f t="array" ref="H826">VALUE(INDEX(_xlfn.TEXTSPLIT(Table1[[#This Row],[Item]], "-"), 7))</f>
        <v>0</v>
      </c>
      <c r="I82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26" s="1" t="str">
        <f>LEFT(RIGHT(Table1[[#This Row],[Item]],6),1)</f>
        <v>N</v>
      </c>
      <c r="K826" s="1" t="str">
        <f t="shared" si="14"/>
        <v>N</v>
      </c>
      <c r="L826" s="1" t="str">
        <f>RIGHT(Table1[[#This Row],[Item]],2)</f>
        <v>DG</v>
      </c>
      <c r="M826" s="1" t="s">
        <v>33</v>
      </c>
      <c r="N826" s="3" t="s">
        <v>846</v>
      </c>
      <c r="O826" s="1"/>
    </row>
    <row r="827" spans="1:15" ht="15" customHeight="1">
      <c r="A827" t="s">
        <v>847</v>
      </c>
      <c r="B827" s="1" t="str">
        <f>LEFT(Table1[[#This Row],[Item]], FIND("-", Table1[[#This Row],[Item]]) - 1)</f>
        <v>GX06</v>
      </c>
      <c r="C827" s="1" t="str">
        <f>MID(LEFT(Table1[[#This Row],[Item]], FIND("{token}", SUBSTITUTE(Table1[[#This Row],[Item]], "-", "{token}", 2)) - 1), FIND("-", Table1[[#This Row],[Item]]) + 1, LEN(Table1[[#This Row],[Item]]))</f>
        <v>R</v>
      </c>
      <c r="D82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82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27" s="1" cm="1">
        <f t="array" ref="F827">VALUE(INDEX(_xlfn.TEXTSPLIT(Table1[[#This Row],[Item]], "-"), 5))</f>
        <v>1</v>
      </c>
      <c r="G827" s="1" cm="1">
        <f t="array" ref="G827">VALUE(INDEX(_xlfn.TEXTSPLIT(Table1[[#This Row],[Item]], "-"), 6))</f>
        <v>0</v>
      </c>
      <c r="H827" s="1" cm="1">
        <f t="array" ref="H827">VALUE(INDEX(_xlfn.TEXTSPLIT(Table1[[#This Row],[Item]], "-"), 7))</f>
        <v>1</v>
      </c>
      <c r="I82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27" s="1" t="str">
        <f>LEFT(RIGHT(Table1[[#This Row],[Item]],6),1)</f>
        <v>N</v>
      </c>
      <c r="K827" s="1" t="str">
        <f t="shared" si="14"/>
        <v>N</v>
      </c>
      <c r="L827" s="1" t="str">
        <f>RIGHT(Table1[[#This Row],[Item]],2)</f>
        <v>DG</v>
      </c>
      <c r="M827" s="1" t="s">
        <v>33</v>
      </c>
      <c r="N827" s="3" t="s">
        <v>847</v>
      </c>
      <c r="O827" s="1"/>
    </row>
    <row r="828" spans="1:15" ht="15" customHeight="1">
      <c r="A828" t="s">
        <v>848</v>
      </c>
      <c r="B828" s="1" t="str">
        <f>LEFT(Table1[[#This Row],[Item]], FIND("-", Table1[[#This Row],[Item]]) - 1)</f>
        <v>GX12</v>
      </c>
      <c r="C828" s="1" t="str">
        <f>MID(LEFT(Table1[[#This Row],[Item]], FIND("{token}", SUBSTITUTE(Table1[[#This Row],[Item]], "-", "{token}", 2)) - 1), FIND("-", Table1[[#This Row],[Item]]) + 1, LEN(Table1[[#This Row],[Item]]))</f>
        <v>CXL</v>
      </c>
      <c r="D828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82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28" s="1" cm="1">
        <f t="array" ref="F828">VALUE(INDEX(_xlfn.TEXTSPLIT(Table1[[#This Row],[Item]], "-"), 5))</f>
        <v>2</v>
      </c>
      <c r="G828" s="1" cm="1">
        <f t="array" ref="G828">VALUE(INDEX(_xlfn.TEXTSPLIT(Table1[[#This Row],[Item]], "-"), 6))</f>
        <v>2</v>
      </c>
      <c r="H828" s="1" cm="1">
        <f t="array" ref="H828">VALUE(INDEX(_xlfn.TEXTSPLIT(Table1[[#This Row],[Item]], "-"), 7))</f>
        <v>0</v>
      </c>
      <c r="I82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28" s="1" t="str">
        <f>LEFT(RIGHT(Table1[[#This Row],[Item]],6),1)</f>
        <v>N</v>
      </c>
      <c r="K828" s="1" t="str">
        <f t="shared" si="14"/>
        <v>N</v>
      </c>
      <c r="L828" s="1" t="str">
        <f>RIGHT(Table1[[#This Row],[Item]],2)</f>
        <v>DG</v>
      </c>
      <c r="M828" s="1" t="s">
        <v>33</v>
      </c>
      <c r="N828" s="3" t="s">
        <v>848</v>
      </c>
      <c r="O828" s="1"/>
    </row>
    <row r="829" spans="1:15" ht="15" customHeight="1">
      <c r="A829" t="s">
        <v>849</v>
      </c>
      <c r="B829" s="1" t="str">
        <f>LEFT(Table1[[#This Row],[Item]], FIND("-", Table1[[#This Row],[Item]]) - 1)</f>
        <v>ARB8</v>
      </c>
      <c r="C829" s="1" t="str">
        <f>MID(LEFT(Table1[[#This Row],[Item]], FIND("{token}", SUBSTITUTE(Table1[[#This Row],[Item]], "-", "{token}", 2)) - 1), FIND("-", Table1[[#This Row],[Item]]) + 1, LEN(Table1[[#This Row],[Item]]))</f>
        <v>L</v>
      </c>
      <c r="D82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2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29" s="1" cm="1">
        <f t="array" ref="F829">VALUE(INDEX(_xlfn.TEXTSPLIT(Table1[[#This Row],[Item]], "-"), 5))</f>
        <v>1</v>
      </c>
      <c r="G829" s="1" cm="1">
        <f t="array" ref="G829">VALUE(INDEX(_xlfn.TEXTSPLIT(Table1[[#This Row],[Item]], "-"), 6))</f>
        <v>0</v>
      </c>
      <c r="H829" s="1" cm="1">
        <f t="array" ref="H829">VALUE(INDEX(_xlfn.TEXTSPLIT(Table1[[#This Row],[Item]], "-"), 7))</f>
        <v>1</v>
      </c>
      <c r="I829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829" s="1" t="str">
        <f>LEFT(RIGHT(Table1[[#This Row],[Item]],6),1)</f>
        <v>Y</v>
      </c>
      <c r="K829" s="1" t="str">
        <f t="shared" si="14"/>
        <v>Y</v>
      </c>
      <c r="L829" s="1" t="str">
        <f>RIGHT(Table1[[#This Row],[Item]],2)</f>
        <v>DG</v>
      </c>
      <c r="M829" s="1" t="s">
        <v>33</v>
      </c>
      <c r="N829" s="3" t="s">
        <v>850</v>
      </c>
      <c r="O829" s="1"/>
    </row>
    <row r="830" spans="1:15" ht="15" customHeight="1">
      <c r="A830" t="s">
        <v>851</v>
      </c>
      <c r="B830" s="1" t="str">
        <f>LEFT(Table1[[#This Row],[Item]], FIND("-", Table1[[#This Row],[Item]]) - 1)</f>
        <v>GX08</v>
      </c>
      <c r="C830" s="1" t="str">
        <f>MID(LEFT(Table1[[#This Row],[Item]], FIND("{token}", SUBSTITUTE(Table1[[#This Row],[Item]], "-", "{token}", 2)) - 1), FIND("-", Table1[[#This Row],[Item]]) + 1, LEN(Table1[[#This Row],[Item]]))</f>
        <v>R</v>
      </c>
      <c r="D83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3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30" s="1" cm="1">
        <f t="array" ref="F830">VALUE(INDEX(_xlfn.TEXTSPLIT(Table1[[#This Row],[Item]], "-"), 5))</f>
        <v>0</v>
      </c>
      <c r="G830" s="1" cm="1">
        <f t="array" ref="G830">VALUE(INDEX(_xlfn.TEXTSPLIT(Table1[[#This Row],[Item]], "-"), 6))</f>
        <v>1</v>
      </c>
      <c r="H830" s="1" cm="1">
        <f t="array" ref="H830">VALUE(INDEX(_xlfn.TEXTSPLIT(Table1[[#This Row],[Item]], "-"), 7))</f>
        <v>0</v>
      </c>
      <c r="I83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30" s="1" t="str">
        <f>LEFT(RIGHT(Table1[[#This Row],[Item]],6),1)</f>
        <v>N</v>
      </c>
      <c r="K830" s="1" t="str">
        <f t="shared" si="14"/>
        <v>N</v>
      </c>
      <c r="L830" s="1" t="str">
        <f>RIGHT(Table1[[#This Row],[Item]],2)</f>
        <v>DG</v>
      </c>
      <c r="M830" s="1" t="s">
        <v>33</v>
      </c>
      <c r="N830" s="3" t="s">
        <v>851</v>
      </c>
      <c r="O830" s="1"/>
    </row>
    <row r="831" spans="1:15" ht="15" customHeight="1">
      <c r="A831" t="s">
        <v>852</v>
      </c>
      <c r="B831" s="1" t="str">
        <f>LEFT(Table1[[#This Row],[Item]], FIND("-", Table1[[#This Row],[Item]]) - 1)</f>
        <v>MA12</v>
      </c>
      <c r="C831" s="1" t="str">
        <f>MID(LEFT(Table1[[#This Row],[Item]], FIND("{token}", SUBSTITUTE(Table1[[#This Row],[Item]], "-", "{token}", 2)) - 1), FIND("-", Table1[[#This Row],[Item]]) + 1, LEN(Table1[[#This Row],[Item]]))</f>
        <v>DXL</v>
      </c>
      <c r="D83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3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831" s="1" cm="1">
        <f t="array" ref="F831">VALUE(INDEX(_xlfn.TEXTSPLIT(Table1[[#This Row],[Item]], "-"), 5))</f>
        <v>0</v>
      </c>
      <c r="G831" s="1" cm="1">
        <f t="array" ref="G831">VALUE(INDEX(_xlfn.TEXTSPLIT(Table1[[#This Row],[Item]], "-"), 6))</f>
        <v>0</v>
      </c>
      <c r="H831" s="1" cm="1">
        <f t="array" ref="H831">VALUE(INDEX(_xlfn.TEXTSPLIT(Table1[[#This Row],[Item]], "-"), 7))</f>
        <v>0</v>
      </c>
      <c r="I831" s="1" t="str">
        <f>MID(LEFT(Table1[[#This Row],[Item]], FIND("{token}", SUBSTITUTE(Table1[[#This Row],[Item]], "-", "{token}", 8)) - 1), FIND("{token}", SUBSTITUTE(Table1[[#This Row],[Item]], "-", "{token}", 7)) + 1, LEN(Table1[[#This Row],[Item]]))</f>
        <v>SPO</v>
      </c>
      <c r="J831" s="1" t="str">
        <f>LEFT(RIGHT(Table1[[#This Row],[Item]],6),1)</f>
        <v>Y</v>
      </c>
      <c r="K831" s="1" t="str">
        <f t="shared" si="14"/>
        <v>Y</v>
      </c>
      <c r="L831" s="1" t="str">
        <f>RIGHT(Table1[[#This Row],[Item]],2)</f>
        <v>DG</v>
      </c>
      <c r="M831" s="1" t="s">
        <v>33</v>
      </c>
      <c r="N831" s="3" t="s">
        <v>852</v>
      </c>
      <c r="O831" s="1"/>
    </row>
    <row r="832" spans="1:15" ht="15" customHeight="1">
      <c r="A832" t="s">
        <v>853</v>
      </c>
      <c r="B832" s="1" t="str">
        <f>LEFT(Table1[[#This Row],[Item]], FIND("-", Table1[[#This Row],[Item]]) - 1)</f>
        <v>GX10</v>
      </c>
      <c r="C832" s="1" t="str">
        <f>MID(LEFT(Table1[[#This Row],[Item]], FIND("{token}", SUBSTITUTE(Table1[[#This Row],[Item]], "-", "{token}", 2)) - 1), FIND("-", Table1[[#This Row],[Item]]) + 1, LEN(Table1[[#This Row],[Item]]))</f>
        <v>L</v>
      </c>
      <c r="D832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83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32" s="1" cm="1">
        <f t="array" ref="F832">VALUE(INDEX(_xlfn.TEXTSPLIT(Table1[[#This Row],[Item]], "-"), 5))</f>
        <v>1</v>
      </c>
      <c r="G832" s="1" cm="1">
        <f t="array" ref="G832">VALUE(INDEX(_xlfn.TEXTSPLIT(Table1[[#This Row],[Item]], "-"), 6))</f>
        <v>1</v>
      </c>
      <c r="H832" s="1" cm="1">
        <f t="array" ref="H832">VALUE(INDEX(_xlfn.TEXTSPLIT(Table1[[#This Row],[Item]], "-"), 7))</f>
        <v>1</v>
      </c>
      <c r="I83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32" s="1" t="str">
        <f>LEFT(RIGHT(Table1[[#This Row],[Item]],6),1)</f>
        <v>N</v>
      </c>
      <c r="K832" s="1" t="str">
        <f t="shared" si="14"/>
        <v>N</v>
      </c>
      <c r="L832" s="1" t="str">
        <f>RIGHT(Table1[[#This Row],[Item]],2)</f>
        <v>DG</v>
      </c>
      <c r="M832" s="1" t="s">
        <v>33</v>
      </c>
      <c r="N832" s="3" t="s">
        <v>853</v>
      </c>
      <c r="O832" s="1"/>
    </row>
    <row r="833" spans="1:15" ht="15" customHeight="1">
      <c r="A833" t="s">
        <v>854</v>
      </c>
      <c r="B833" s="1" t="str">
        <f>LEFT(Table1[[#This Row],[Item]], FIND("-", Table1[[#This Row],[Item]]) - 1)</f>
        <v>EASY</v>
      </c>
      <c r="C833" s="1" t="str">
        <f>MID(LEFT(Table1[[#This Row],[Item]], FIND("{token}", SUBSTITUTE(Table1[[#This Row],[Item]], "-", "{token}", 2)) - 1), FIND("-", Table1[[#This Row],[Item]]) + 1, LEN(Table1[[#This Row],[Item]]))</f>
        <v>C</v>
      </c>
      <c r="D83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3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33" s="1" cm="1">
        <f t="array" ref="F833">VALUE(INDEX(_xlfn.TEXTSPLIT(Table1[[#This Row],[Item]], "-"), 5))</f>
        <v>4</v>
      </c>
      <c r="G833" s="1" cm="1">
        <f t="array" ref="G833">VALUE(INDEX(_xlfn.TEXTSPLIT(Table1[[#This Row],[Item]], "-"), 6))</f>
        <v>0</v>
      </c>
      <c r="H833" s="1" cm="1">
        <f t="array" ref="H833">VALUE(INDEX(_xlfn.TEXTSPLIT(Table1[[#This Row],[Item]], "-"), 7))</f>
        <v>0</v>
      </c>
      <c r="I83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33" s="1" t="str">
        <f>LEFT(RIGHT(Table1[[#This Row],[Item]],6),1)</f>
        <v>N</v>
      </c>
      <c r="K833" s="1" t="str">
        <f t="shared" si="14"/>
        <v>N</v>
      </c>
      <c r="L833" s="1" t="str">
        <f>RIGHT(Table1[[#This Row],[Item]],2)</f>
        <v>DG</v>
      </c>
      <c r="M833" s="1" t="s">
        <v>33</v>
      </c>
      <c r="N833" s="3" t="s">
        <v>854</v>
      </c>
      <c r="O833" s="1"/>
    </row>
    <row r="834" spans="1:15" ht="15" customHeight="1">
      <c r="A834" t="s">
        <v>855</v>
      </c>
      <c r="B834" s="1" t="str">
        <f>LEFT(Table1[[#This Row],[Item]], FIND("-", Table1[[#This Row],[Item]]) - 1)</f>
        <v>GX12</v>
      </c>
      <c r="C834" s="1" t="str">
        <f>MID(LEFT(Table1[[#This Row],[Item]], FIND("{token}", SUBSTITUTE(Table1[[#This Row],[Item]], "-", "{token}", 2)) - 1), FIND("-", Table1[[#This Row],[Item]]) + 1, LEN(Table1[[#This Row],[Item]]))</f>
        <v>CXL</v>
      </c>
      <c r="D83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3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34" s="1" cm="1">
        <f t="array" ref="F834">VALUE(INDEX(_xlfn.TEXTSPLIT(Table1[[#This Row],[Item]], "-"), 5))</f>
        <v>2</v>
      </c>
      <c r="G834" s="1" cm="1">
        <f t="array" ref="G834">VALUE(INDEX(_xlfn.TEXTSPLIT(Table1[[#This Row],[Item]], "-"), 6))</f>
        <v>2</v>
      </c>
      <c r="H834" s="1" cm="1">
        <f t="array" ref="H834">VALUE(INDEX(_xlfn.TEXTSPLIT(Table1[[#This Row],[Item]], "-"), 7))</f>
        <v>0</v>
      </c>
      <c r="I83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34" s="1" t="str">
        <f>LEFT(RIGHT(Table1[[#This Row],[Item]],6),1)</f>
        <v>N</v>
      </c>
      <c r="K834" s="1" t="str">
        <f t="shared" si="14"/>
        <v>N</v>
      </c>
      <c r="L834" s="1" t="str">
        <f>RIGHT(Table1[[#This Row],[Item]],2)</f>
        <v>DG</v>
      </c>
      <c r="M834" s="1" t="s">
        <v>33</v>
      </c>
      <c r="N834" s="3" t="s">
        <v>855</v>
      </c>
      <c r="O834" s="1"/>
    </row>
    <row r="835" spans="1:15" ht="15" customHeight="1">
      <c r="A835" t="s">
        <v>856</v>
      </c>
      <c r="B835" s="1" t="str">
        <f>LEFT(Table1[[#This Row],[Item]], FIND("-", Table1[[#This Row],[Item]]) - 1)</f>
        <v>GX09</v>
      </c>
      <c r="C835" s="1" t="str">
        <f>MID(LEFT(Table1[[#This Row],[Item]], FIND("{token}", SUBSTITUTE(Table1[[#This Row],[Item]], "-", "{token}", 2)) - 1), FIND("-", Table1[[#This Row],[Item]]) + 1, LEN(Table1[[#This Row],[Item]]))</f>
        <v>RXL</v>
      </c>
      <c r="D83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3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35" s="1" cm="1">
        <f t="array" ref="F835">VALUE(INDEX(_xlfn.TEXTSPLIT(Table1[[#This Row],[Item]], "-"), 5))</f>
        <v>1</v>
      </c>
      <c r="G835" s="1" cm="1">
        <f t="array" ref="G835">VALUE(INDEX(_xlfn.TEXTSPLIT(Table1[[#This Row],[Item]], "-"), 6))</f>
        <v>1</v>
      </c>
      <c r="H835" s="1" cm="1">
        <f t="array" ref="H835">VALUE(INDEX(_xlfn.TEXTSPLIT(Table1[[#This Row],[Item]], "-"), 7))</f>
        <v>1</v>
      </c>
      <c r="I83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35" s="1" t="str">
        <f>LEFT(RIGHT(Table1[[#This Row],[Item]],6),1)</f>
        <v>N</v>
      </c>
      <c r="K835" s="1" t="str">
        <f t="shared" si="14"/>
        <v>N</v>
      </c>
      <c r="L835" s="1" t="str">
        <f>RIGHT(Table1[[#This Row],[Item]],2)</f>
        <v>DG</v>
      </c>
      <c r="M835" s="1" t="s">
        <v>33</v>
      </c>
      <c r="N835" s="3" t="s">
        <v>856</v>
      </c>
      <c r="O835" s="1"/>
    </row>
    <row r="836" spans="1:15" ht="15" customHeight="1">
      <c r="A836" t="s">
        <v>857</v>
      </c>
      <c r="B836" s="1" t="str">
        <f>LEFT(Table1[[#This Row],[Item]], FIND("-", Table1[[#This Row],[Item]]) - 1)</f>
        <v>GX08</v>
      </c>
      <c r="C836" s="1" t="str">
        <f>MID(LEFT(Table1[[#This Row],[Item]], FIND("{token}", SUBSTITUTE(Table1[[#This Row],[Item]], "-", "{token}", 2)) - 1), FIND("-", Table1[[#This Row],[Item]]) + 1, LEN(Table1[[#This Row],[Item]]))</f>
        <v>C</v>
      </c>
      <c r="D836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83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36" s="1" cm="1">
        <f t="array" ref="F836">VALUE(INDEX(_xlfn.TEXTSPLIT(Table1[[#This Row],[Item]], "-"), 5))</f>
        <v>1</v>
      </c>
      <c r="G836" s="1" cm="1">
        <f t="array" ref="G836">VALUE(INDEX(_xlfn.TEXTSPLIT(Table1[[#This Row],[Item]], "-"), 6))</f>
        <v>1</v>
      </c>
      <c r="H836" s="1" cm="1">
        <f t="array" ref="H836">VALUE(INDEX(_xlfn.TEXTSPLIT(Table1[[#This Row],[Item]], "-"), 7))</f>
        <v>0</v>
      </c>
      <c r="I83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36" s="1" t="str">
        <f>LEFT(RIGHT(Table1[[#This Row],[Item]],6),1)</f>
        <v>N</v>
      </c>
      <c r="K836" s="1" t="str">
        <f t="shared" si="14"/>
        <v>N</v>
      </c>
      <c r="L836" s="1" t="str">
        <f>RIGHT(Table1[[#This Row],[Item]],2)</f>
        <v>DG</v>
      </c>
      <c r="M836" s="1" t="s">
        <v>33</v>
      </c>
      <c r="N836" s="3" t="s">
        <v>857</v>
      </c>
      <c r="O836" s="1"/>
    </row>
    <row r="837" spans="1:15" ht="15" customHeight="1">
      <c r="A837" t="s">
        <v>858</v>
      </c>
      <c r="B837" s="1" t="str">
        <f>LEFT(Table1[[#This Row],[Item]], FIND("-", Table1[[#This Row],[Item]]) - 1)</f>
        <v>GX09</v>
      </c>
      <c r="C837" s="1" t="str">
        <f>MID(LEFT(Table1[[#This Row],[Item]], FIND("{token}", SUBSTITUTE(Table1[[#This Row],[Item]], "-", "{token}", 2)) - 1), FIND("-", Table1[[#This Row],[Item]]) + 1, LEN(Table1[[#This Row],[Item]]))</f>
        <v>R</v>
      </c>
      <c r="D83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83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37" s="1" cm="1">
        <f t="array" ref="F837">VALUE(INDEX(_xlfn.TEXTSPLIT(Table1[[#This Row],[Item]], "-"), 5))</f>
        <v>1</v>
      </c>
      <c r="G837" s="1" cm="1">
        <f t="array" ref="G837">VALUE(INDEX(_xlfn.TEXTSPLIT(Table1[[#This Row],[Item]], "-"), 6))</f>
        <v>1</v>
      </c>
      <c r="H837" s="1" cm="1">
        <f t="array" ref="H837">VALUE(INDEX(_xlfn.TEXTSPLIT(Table1[[#This Row],[Item]], "-"), 7))</f>
        <v>1</v>
      </c>
      <c r="I83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37" s="1" t="str">
        <f>LEFT(RIGHT(Table1[[#This Row],[Item]],6),1)</f>
        <v>N</v>
      </c>
      <c r="K837" s="1" t="str">
        <f t="shared" si="14"/>
        <v>N</v>
      </c>
      <c r="L837" s="1" t="str">
        <f>RIGHT(Table1[[#This Row],[Item]],2)</f>
        <v>DG</v>
      </c>
      <c r="M837" s="1" t="s">
        <v>33</v>
      </c>
      <c r="N837" s="3" t="s">
        <v>858</v>
      </c>
      <c r="O837" s="1"/>
    </row>
    <row r="838" spans="1:15" ht="15" customHeight="1">
      <c r="A838" t="s">
        <v>859</v>
      </c>
      <c r="B838" s="1" t="str">
        <f>LEFT(Table1[[#This Row],[Item]], FIND("-", Table1[[#This Row],[Item]]) - 1)</f>
        <v>GX12</v>
      </c>
      <c r="C838" s="1" t="str">
        <f>MID(LEFT(Table1[[#This Row],[Item]], FIND("{token}", SUBSTITUTE(Table1[[#This Row],[Item]], "-", "{token}", 2)) - 1), FIND("-", Table1[[#This Row],[Item]]) + 1, LEN(Table1[[#This Row],[Item]]))</f>
        <v>CXL</v>
      </c>
      <c r="D83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3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38" s="1" cm="1">
        <f t="array" ref="F838">VALUE(INDEX(_xlfn.TEXTSPLIT(Table1[[#This Row],[Item]], "-"), 5))</f>
        <v>2</v>
      </c>
      <c r="G838" s="1" cm="1">
        <f t="array" ref="G838">VALUE(INDEX(_xlfn.TEXTSPLIT(Table1[[#This Row],[Item]], "-"), 6))</f>
        <v>2</v>
      </c>
      <c r="H838" s="1" cm="1">
        <f t="array" ref="H838">VALUE(INDEX(_xlfn.TEXTSPLIT(Table1[[#This Row],[Item]], "-"), 7))</f>
        <v>1</v>
      </c>
      <c r="I83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38" s="1" t="str">
        <f>LEFT(RIGHT(Table1[[#This Row],[Item]],6),1)</f>
        <v>N</v>
      </c>
      <c r="K838" s="1" t="str">
        <f t="shared" si="14"/>
        <v>N</v>
      </c>
      <c r="L838" s="1" t="str">
        <f>RIGHT(Table1[[#This Row],[Item]],2)</f>
        <v>DG</v>
      </c>
      <c r="M838" s="1" t="s">
        <v>33</v>
      </c>
      <c r="N838" s="3" t="s">
        <v>859</v>
      </c>
      <c r="O838" s="1"/>
    </row>
    <row r="839" spans="1:15" ht="15" customHeight="1">
      <c r="A839" t="s">
        <v>860</v>
      </c>
      <c r="B839" s="1" t="str">
        <f>LEFT(Table1[[#This Row],[Item]], FIND("-", Table1[[#This Row],[Item]]) - 1)</f>
        <v>STC8</v>
      </c>
      <c r="C839" s="1" t="str">
        <f>MID(LEFT(Table1[[#This Row],[Item]], FIND("{token}", SUBSTITUTE(Table1[[#This Row],[Item]], "-", "{token}", 2)) - 1), FIND("-", Table1[[#This Row],[Item]]) + 1, LEN(Table1[[#This Row],[Item]]))</f>
        <v>N</v>
      </c>
      <c r="D83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3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39" s="1" cm="1">
        <f t="array" ref="F839">VALUE(INDEX(_xlfn.TEXTSPLIT(Table1[[#This Row],[Item]], "-"), 5))</f>
        <v>1</v>
      </c>
      <c r="G839" s="1" cm="1">
        <f t="array" ref="G839">VALUE(INDEX(_xlfn.TEXTSPLIT(Table1[[#This Row],[Item]], "-"), 6))</f>
        <v>0</v>
      </c>
      <c r="H839" s="1" cm="1">
        <f t="array" ref="H839">VALUE(INDEX(_xlfn.TEXTSPLIT(Table1[[#This Row],[Item]], "-"), 7))</f>
        <v>0</v>
      </c>
      <c r="I83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39" s="1" t="str">
        <f>LEFT(RIGHT(Table1[[#This Row],[Item]],6),1)</f>
        <v>Y</v>
      </c>
      <c r="K839" s="1" t="str">
        <f t="shared" si="14"/>
        <v>N</v>
      </c>
      <c r="L839" s="1" t="str">
        <f>RIGHT(Table1[[#This Row],[Item]],2)</f>
        <v>DG</v>
      </c>
      <c r="M839" s="1" t="s">
        <v>33</v>
      </c>
      <c r="N839" s="3" t="s">
        <v>860</v>
      </c>
      <c r="O839" s="1"/>
    </row>
    <row r="840" spans="1:15" ht="15" customHeight="1">
      <c r="A840" t="s">
        <v>861</v>
      </c>
      <c r="B840" s="1" t="str">
        <f>LEFT(Table1[[#This Row],[Item]], FIND("-", Table1[[#This Row],[Item]]) - 1)</f>
        <v>GX10</v>
      </c>
      <c r="C840" s="1" t="str">
        <f>MID(LEFT(Table1[[#This Row],[Item]], FIND("{token}", SUBSTITUTE(Table1[[#This Row],[Item]], "-", "{token}", 2)) - 1), FIND("-", Table1[[#This Row],[Item]]) + 1, LEN(Table1[[#This Row],[Item]]))</f>
        <v>L</v>
      </c>
      <c r="D84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4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40" s="1" cm="1">
        <f t="array" ref="F840">VALUE(INDEX(_xlfn.TEXTSPLIT(Table1[[#This Row],[Item]], "-"), 5))</f>
        <v>1</v>
      </c>
      <c r="G840" s="1" cm="1">
        <f t="array" ref="G840">VALUE(INDEX(_xlfn.TEXTSPLIT(Table1[[#This Row],[Item]], "-"), 6))</f>
        <v>0</v>
      </c>
      <c r="H840" s="1" cm="1">
        <f t="array" ref="H840">VALUE(INDEX(_xlfn.TEXTSPLIT(Table1[[#This Row],[Item]], "-"), 7))</f>
        <v>0</v>
      </c>
      <c r="I84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40" s="1" t="str">
        <f>LEFT(RIGHT(Table1[[#This Row],[Item]],6),1)</f>
        <v>N</v>
      </c>
      <c r="K840" s="1" t="str">
        <f t="shared" si="14"/>
        <v>N</v>
      </c>
      <c r="L840" s="1" t="str">
        <f>RIGHT(Table1[[#This Row],[Item]],2)</f>
        <v>DG</v>
      </c>
      <c r="M840" s="1" t="s">
        <v>33</v>
      </c>
      <c r="N840" s="3" t="s">
        <v>861</v>
      </c>
      <c r="O840" s="1"/>
    </row>
    <row r="841" spans="1:15" ht="15" customHeight="1">
      <c r="A841" t="s">
        <v>862</v>
      </c>
      <c r="B841" s="1" t="str">
        <f>LEFT(Table1[[#This Row],[Item]], FIND("-", Table1[[#This Row],[Item]]) - 1)</f>
        <v>MA12</v>
      </c>
      <c r="C841" s="1" t="str">
        <f>MID(LEFT(Table1[[#This Row],[Item]], FIND("{token}", SUBSTITUTE(Table1[[#This Row],[Item]], "-", "{token}", 2)) - 1), FIND("-", Table1[[#This Row],[Item]]) + 1, LEN(Table1[[#This Row],[Item]]))</f>
        <v>N</v>
      </c>
      <c r="D84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4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41" s="1" cm="1">
        <f t="array" ref="F841">VALUE(INDEX(_xlfn.TEXTSPLIT(Table1[[#This Row],[Item]], "-"), 5))</f>
        <v>2</v>
      </c>
      <c r="G841" s="1" cm="1">
        <f t="array" ref="G841">VALUE(INDEX(_xlfn.TEXTSPLIT(Table1[[#This Row],[Item]], "-"), 6))</f>
        <v>0</v>
      </c>
      <c r="H841" s="1" cm="1">
        <f t="array" ref="H841">VALUE(INDEX(_xlfn.TEXTSPLIT(Table1[[#This Row],[Item]], "-"), 7))</f>
        <v>0</v>
      </c>
      <c r="I841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841" s="1" t="str">
        <f>LEFT(RIGHT(Table1[[#This Row],[Item]],6),1)</f>
        <v>Y</v>
      </c>
      <c r="K841" s="1" t="str">
        <f t="shared" si="14"/>
        <v>Y</v>
      </c>
      <c r="L841" s="1" t="str">
        <f>RIGHT(Table1[[#This Row],[Item]],2)</f>
        <v>DG</v>
      </c>
      <c r="M841" s="1" t="s">
        <v>33</v>
      </c>
      <c r="N841" s="3" t="s">
        <v>862</v>
      </c>
      <c r="O841" s="1"/>
    </row>
    <row r="842" spans="1:15" ht="15" customHeight="1">
      <c r="A842" t="s">
        <v>863</v>
      </c>
      <c r="B842" s="1" t="str">
        <f>LEFT(Table1[[#This Row],[Item]], FIND("-", Table1[[#This Row],[Item]]) - 1)</f>
        <v>GX06</v>
      </c>
      <c r="C842" s="1" t="str">
        <f>MID(LEFT(Table1[[#This Row],[Item]], FIND("{token}", SUBSTITUTE(Table1[[#This Row],[Item]], "-", "{token}", 2)) - 1), FIND("-", Table1[[#This Row],[Item]]) + 1, LEN(Table1[[#This Row],[Item]]))</f>
        <v>R</v>
      </c>
      <c r="D84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4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42" s="1" cm="1">
        <f t="array" ref="F842">VALUE(INDEX(_xlfn.TEXTSPLIT(Table1[[#This Row],[Item]], "-"), 5))</f>
        <v>1</v>
      </c>
      <c r="G842" s="1" cm="1">
        <f t="array" ref="G842">VALUE(INDEX(_xlfn.TEXTSPLIT(Table1[[#This Row],[Item]], "-"), 6))</f>
        <v>1</v>
      </c>
      <c r="H842" s="1" cm="1">
        <f t="array" ref="H842">VALUE(INDEX(_xlfn.TEXTSPLIT(Table1[[#This Row],[Item]], "-"), 7))</f>
        <v>1</v>
      </c>
      <c r="I84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42" s="1" t="str">
        <f>LEFT(RIGHT(Table1[[#This Row],[Item]],6),1)</f>
        <v>N</v>
      </c>
      <c r="K842" s="1" t="str">
        <f t="shared" si="14"/>
        <v>N</v>
      </c>
      <c r="L842" s="1" t="str">
        <f>RIGHT(Table1[[#This Row],[Item]],2)</f>
        <v>DG</v>
      </c>
      <c r="M842" s="1" t="s">
        <v>33</v>
      </c>
      <c r="N842" s="3" t="s">
        <v>863</v>
      </c>
      <c r="O842" s="1"/>
    </row>
    <row r="843" spans="1:15" ht="15" customHeight="1">
      <c r="A843" t="s">
        <v>864</v>
      </c>
      <c r="B843" s="1" t="str">
        <f>LEFT(Table1[[#This Row],[Item]], FIND("-", Table1[[#This Row],[Item]]) - 1)</f>
        <v>MA12</v>
      </c>
      <c r="C843" s="1" t="str">
        <f>MID(LEFT(Table1[[#This Row],[Item]], FIND("{token}", SUBSTITUTE(Table1[[#This Row],[Item]], "-", "{token}", 2)) - 1), FIND("-", Table1[[#This Row],[Item]]) + 1, LEN(Table1[[#This Row],[Item]]))</f>
        <v>D</v>
      </c>
      <c r="D84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84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843" s="1" cm="1">
        <f t="array" ref="F843">VALUE(INDEX(_xlfn.TEXTSPLIT(Table1[[#This Row],[Item]], "-"), 5))</f>
        <v>0</v>
      </c>
      <c r="G843" s="1" cm="1">
        <f t="array" ref="G843">VALUE(INDEX(_xlfn.TEXTSPLIT(Table1[[#This Row],[Item]], "-"), 6))</f>
        <v>1</v>
      </c>
      <c r="H843" s="1" cm="1">
        <f t="array" ref="H843">VALUE(INDEX(_xlfn.TEXTSPLIT(Table1[[#This Row],[Item]], "-"), 7))</f>
        <v>0</v>
      </c>
      <c r="I843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843" s="1" t="str">
        <f>LEFT(RIGHT(Table1[[#This Row],[Item]],6),1)</f>
        <v>Y</v>
      </c>
      <c r="K843" s="1" t="str">
        <f t="shared" si="14"/>
        <v>Y</v>
      </c>
      <c r="L843" s="1" t="str">
        <f>RIGHT(Table1[[#This Row],[Item]],2)</f>
        <v>DG</v>
      </c>
      <c r="M843" s="1" t="s">
        <v>33</v>
      </c>
      <c r="N843" s="3" t="s">
        <v>864</v>
      </c>
      <c r="O843" s="1"/>
    </row>
    <row r="844" spans="1:15" ht="15" customHeight="1">
      <c r="A844" t="s">
        <v>865</v>
      </c>
      <c r="B844" s="1" t="str">
        <f>LEFT(Table1[[#This Row],[Item]], FIND("-", Table1[[#This Row],[Item]]) - 1)</f>
        <v>GX08</v>
      </c>
      <c r="C844" s="1" t="str">
        <f>MID(LEFT(Table1[[#This Row],[Item]], FIND("{token}", SUBSTITUTE(Table1[[#This Row],[Item]], "-", "{token}", 2)) - 1), FIND("-", Table1[[#This Row],[Item]]) + 1, LEN(Table1[[#This Row],[Item]]))</f>
        <v>L</v>
      </c>
      <c r="D84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4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44" s="1" cm="1">
        <f t="array" ref="F844">VALUE(INDEX(_xlfn.TEXTSPLIT(Table1[[#This Row],[Item]], "-"), 5))</f>
        <v>1</v>
      </c>
      <c r="G844" s="1" cm="1">
        <f t="array" ref="G844">VALUE(INDEX(_xlfn.TEXTSPLIT(Table1[[#This Row],[Item]], "-"), 6))</f>
        <v>1</v>
      </c>
      <c r="H844" s="1" cm="1">
        <f t="array" ref="H844">VALUE(INDEX(_xlfn.TEXTSPLIT(Table1[[#This Row],[Item]], "-"), 7))</f>
        <v>0</v>
      </c>
      <c r="I84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44" s="1" t="str">
        <f>LEFT(RIGHT(Table1[[#This Row],[Item]],6),1)</f>
        <v>N</v>
      </c>
      <c r="K844" s="1" t="str">
        <f t="shared" si="14"/>
        <v>N</v>
      </c>
      <c r="L844" s="1" t="str">
        <f>RIGHT(Table1[[#This Row],[Item]],2)</f>
        <v>DG</v>
      </c>
      <c r="M844" s="1" t="s">
        <v>33</v>
      </c>
      <c r="N844" s="3" t="s">
        <v>865</v>
      </c>
      <c r="O844" s="1"/>
    </row>
    <row r="845" spans="1:15" ht="15" customHeight="1">
      <c r="A845" t="s">
        <v>866</v>
      </c>
      <c r="B845" s="1" t="str">
        <f>LEFT(Table1[[#This Row],[Item]], FIND("-", Table1[[#This Row],[Item]]) - 1)</f>
        <v>GX09</v>
      </c>
      <c r="C845" s="1" t="str">
        <f>MID(LEFT(Table1[[#This Row],[Item]], FIND("{token}", SUBSTITUTE(Table1[[#This Row],[Item]], "-", "{token}", 2)) - 1), FIND("-", Table1[[#This Row],[Item]]) + 1, LEN(Table1[[#This Row],[Item]]))</f>
        <v>RXL</v>
      </c>
      <c r="D84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4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45" s="1" cm="1">
        <f t="array" ref="F845">VALUE(INDEX(_xlfn.TEXTSPLIT(Table1[[#This Row],[Item]], "-"), 5))</f>
        <v>1</v>
      </c>
      <c r="G845" s="1" cm="1">
        <f t="array" ref="G845">VALUE(INDEX(_xlfn.TEXTSPLIT(Table1[[#This Row],[Item]], "-"), 6))</f>
        <v>2</v>
      </c>
      <c r="H845" s="1" cm="1">
        <f t="array" ref="H845">VALUE(INDEX(_xlfn.TEXTSPLIT(Table1[[#This Row],[Item]], "-"), 7))</f>
        <v>0</v>
      </c>
      <c r="I84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45" s="1" t="str">
        <f>LEFT(RIGHT(Table1[[#This Row],[Item]],6),1)</f>
        <v>N</v>
      </c>
      <c r="K845" s="1" t="str">
        <f t="shared" si="14"/>
        <v>N</v>
      </c>
      <c r="L845" s="1" t="str">
        <f>RIGHT(Table1[[#This Row],[Item]],2)</f>
        <v>DG</v>
      </c>
      <c r="M845" s="1" t="s">
        <v>33</v>
      </c>
      <c r="N845" s="3" t="s">
        <v>866</v>
      </c>
      <c r="O845" s="1"/>
    </row>
    <row r="846" spans="1:15" ht="15" customHeight="1">
      <c r="A846" t="s">
        <v>867</v>
      </c>
      <c r="B846" s="1" t="str">
        <f>LEFT(Table1[[#This Row],[Item]], FIND("-", Table1[[#This Row],[Item]]) - 1)</f>
        <v>GX05</v>
      </c>
      <c r="C846" s="1" t="str">
        <f>MID(LEFT(Table1[[#This Row],[Item]], FIND("{token}", SUBSTITUTE(Table1[[#This Row],[Item]], "-", "{token}", 2)) - 1), FIND("-", Table1[[#This Row],[Item]]) + 1, LEN(Table1[[#This Row],[Item]]))</f>
        <v>R</v>
      </c>
      <c r="D84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4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46" s="1" cm="1">
        <f t="array" ref="F846">VALUE(INDEX(_xlfn.TEXTSPLIT(Table1[[#This Row],[Item]], "-"), 5))</f>
        <v>0</v>
      </c>
      <c r="G846" s="1" cm="1">
        <f t="array" ref="G846">VALUE(INDEX(_xlfn.TEXTSPLIT(Table1[[#This Row],[Item]], "-"), 6))</f>
        <v>1</v>
      </c>
      <c r="H846" s="1" cm="1">
        <f t="array" ref="H846">VALUE(INDEX(_xlfn.TEXTSPLIT(Table1[[#This Row],[Item]], "-"), 7))</f>
        <v>0</v>
      </c>
      <c r="I84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46" s="1" t="str">
        <f>LEFT(RIGHT(Table1[[#This Row],[Item]],6),1)</f>
        <v>N</v>
      </c>
      <c r="K846" s="1" t="str">
        <f t="shared" si="14"/>
        <v>N</v>
      </c>
      <c r="L846" s="1" t="str">
        <f>RIGHT(Table1[[#This Row],[Item]],2)</f>
        <v>DG</v>
      </c>
      <c r="M846" s="1" t="s">
        <v>33</v>
      </c>
      <c r="N846" s="3" t="s">
        <v>867</v>
      </c>
      <c r="O846" s="1"/>
    </row>
    <row r="847" spans="1:15" ht="15" customHeight="1">
      <c r="A847" t="s">
        <v>868</v>
      </c>
      <c r="B847" s="1" t="str">
        <f>LEFT(Table1[[#This Row],[Item]], FIND("-", Table1[[#This Row],[Item]]) - 1)</f>
        <v>GX08</v>
      </c>
      <c r="C847" s="1" t="str">
        <f>MID(LEFT(Table1[[#This Row],[Item]], FIND("{token}", SUBSTITUTE(Table1[[#This Row],[Item]], "-", "{token}", 2)) - 1), FIND("-", Table1[[#This Row],[Item]]) + 1, LEN(Table1[[#This Row],[Item]]))</f>
        <v>L</v>
      </c>
      <c r="D847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84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47" s="1" cm="1">
        <f t="array" ref="F847">VALUE(INDEX(_xlfn.TEXTSPLIT(Table1[[#This Row],[Item]], "-"), 5))</f>
        <v>1</v>
      </c>
      <c r="G847" s="1" cm="1">
        <f t="array" ref="G847">VALUE(INDEX(_xlfn.TEXTSPLIT(Table1[[#This Row],[Item]], "-"), 6))</f>
        <v>1</v>
      </c>
      <c r="H847" s="1" cm="1">
        <f t="array" ref="H847">VALUE(INDEX(_xlfn.TEXTSPLIT(Table1[[#This Row],[Item]], "-"), 7))</f>
        <v>0</v>
      </c>
      <c r="I84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47" s="1" t="str">
        <f>LEFT(RIGHT(Table1[[#This Row],[Item]],6),1)</f>
        <v>N</v>
      </c>
      <c r="K847" s="1" t="str">
        <f t="shared" si="14"/>
        <v>N</v>
      </c>
      <c r="L847" s="1" t="str">
        <f>RIGHT(Table1[[#This Row],[Item]],2)</f>
        <v>DG</v>
      </c>
      <c r="M847" s="1" t="s">
        <v>33</v>
      </c>
      <c r="N847" s="3" t="s">
        <v>868</v>
      </c>
      <c r="O847" s="1"/>
    </row>
    <row r="848" spans="1:15" ht="15" customHeight="1">
      <c r="A848" t="s">
        <v>869</v>
      </c>
      <c r="B848" s="1" t="str">
        <f>LEFT(Table1[[#This Row],[Item]], FIND("-", Table1[[#This Row],[Item]]) - 1)</f>
        <v>GX08</v>
      </c>
      <c r="C848" s="1" t="str">
        <f>MID(LEFT(Table1[[#This Row],[Item]], FIND("{token}", SUBSTITUTE(Table1[[#This Row],[Item]], "-", "{token}", 2)) - 1), FIND("-", Table1[[#This Row],[Item]]) + 1, LEN(Table1[[#This Row],[Item]]))</f>
        <v>LXL</v>
      </c>
      <c r="D84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4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48" s="1" cm="1">
        <f t="array" ref="F848">VALUE(INDEX(_xlfn.TEXTSPLIT(Table1[[#This Row],[Item]], "-"), 5))</f>
        <v>1</v>
      </c>
      <c r="G848" s="1" cm="1">
        <f t="array" ref="G848">VALUE(INDEX(_xlfn.TEXTSPLIT(Table1[[#This Row],[Item]], "-"), 6))</f>
        <v>1</v>
      </c>
      <c r="H848" s="1" cm="1">
        <f t="array" ref="H848">VALUE(INDEX(_xlfn.TEXTSPLIT(Table1[[#This Row],[Item]], "-"), 7))</f>
        <v>0</v>
      </c>
      <c r="I84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48" s="1" t="str">
        <f>LEFT(RIGHT(Table1[[#This Row],[Item]],6),1)</f>
        <v>N</v>
      </c>
      <c r="K848" s="1" t="str">
        <f t="shared" si="14"/>
        <v>N</v>
      </c>
      <c r="L848" s="1" t="str">
        <f>RIGHT(Table1[[#This Row],[Item]],2)</f>
        <v>DG</v>
      </c>
      <c r="M848" s="1" t="s">
        <v>33</v>
      </c>
      <c r="N848" s="3" t="s">
        <v>869</v>
      </c>
      <c r="O848" s="1"/>
    </row>
    <row r="849" spans="1:15" ht="15" customHeight="1">
      <c r="A849" t="s">
        <v>870</v>
      </c>
      <c r="B849" s="1" t="str">
        <f>LEFT(Table1[[#This Row],[Item]], FIND("-", Table1[[#This Row],[Item]]) - 1)</f>
        <v>GX14</v>
      </c>
      <c r="C849" s="1" t="str">
        <f>MID(LEFT(Table1[[#This Row],[Item]], FIND("{token}", SUBSTITUTE(Table1[[#This Row],[Item]], "-", "{token}", 2)) - 1), FIND("-", Table1[[#This Row],[Item]]) + 1, LEN(Table1[[#This Row],[Item]]))</f>
        <v>C</v>
      </c>
      <c r="D84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4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49" s="1" cm="1">
        <f t="array" ref="F849">VALUE(INDEX(_xlfn.TEXTSPLIT(Table1[[#This Row],[Item]], "-"), 5))</f>
        <v>1</v>
      </c>
      <c r="G849" s="1" cm="1">
        <f t="array" ref="G849">VALUE(INDEX(_xlfn.TEXTSPLIT(Table1[[#This Row],[Item]], "-"), 6))</f>
        <v>1</v>
      </c>
      <c r="H849" s="1" cm="1">
        <f t="array" ref="H849">VALUE(INDEX(_xlfn.TEXTSPLIT(Table1[[#This Row],[Item]], "-"), 7))</f>
        <v>0</v>
      </c>
      <c r="I84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49" s="1" t="str">
        <f>LEFT(RIGHT(Table1[[#This Row],[Item]],6),1)</f>
        <v>N</v>
      </c>
      <c r="K849" s="1" t="str">
        <f t="shared" si="14"/>
        <v>N</v>
      </c>
      <c r="L849" s="1" t="str">
        <f>RIGHT(Table1[[#This Row],[Item]],2)</f>
        <v>DG</v>
      </c>
      <c r="M849" s="1" t="s">
        <v>33</v>
      </c>
      <c r="N849" s="3" t="s">
        <v>870</v>
      </c>
      <c r="O849" s="1"/>
    </row>
    <row r="850" spans="1:15" ht="15" customHeight="1">
      <c r="A850" t="s">
        <v>871</v>
      </c>
      <c r="B850" s="1" t="str">
        <f>LEFT(Table1[[#This Row],[Item]], FIND("-", Table1[[#This Row],[Item]]) - 1)</f>
        <v>GX09</v>
      </c>
      <c r="C850" s="1" t="str">
        <f>MID(LEFT(Table1[[#This Row],[Item]], FIND("{token}", SUBSTITUTE(Table1[[#This Row],[Item]], "-", "{token}", 2)) - 1), FIND("-", Table1[[#This Row],[Item]]) + 1, LEN(Table1[[#This Row],[Item]]))</f>
        <v>R</v>
      </c>
      <c r="D850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85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50" s="1" cm="1">
        <f t="array" ref="F850">VALUE(INDEX(_xlfn.TEXTSPLIT(Table1[[#This Row],[Item]], "-"), 5))</f>
        <v>1</v>
      </c>
      <c r="G850" s="1" cm="1">
        <f t="array" ref="G850">VALUE(INDEX(_xlfn.TEXTSPLIT(Table1[[#This Row],[Item]], "-"), 6))</f>
        <v>2</v>
      </c>
      <c r="H850" s="1" cm="1">
        <f t="array" ref="H850">VALUE(INDEX(_xlfn.TEXTSPLIT(Table1[[#This Row],[Item]], "-"), 7))</f>
        <v>0</v>
      </c>
      <c r="I85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50" s="1" t="str">
        <f>LEFT(RIGHT(Table1[[#This Row],[Item]],6),1)</f>
        <v>N</v>
      </c>
      <c r="K850" s="1" t="str">
        <f t="shared" si="14"/>
        <v>N</v>
      </c>
      <c r="L850" s="1" t="str">
        <f>RIGHT(Table1[[#This Row],[Item]],2)</f>
        <v>DG</v>
      </c>
      <c r="M850" s="1" t="s">
        <v>33</v>
      </c>
      <c r="N850" s="3" t="s">
        <v>871</v>
      </c>
      <c r="O850" s="1"/>
    </row>
    <row r="851" spans="1:15" ht="15" customHeight="1">
      <c r="A851" t="s">
        <v>872</v>
      </c>
      <c r="B851" s="1" t="str">
        <f>LEFT(Table1[[#This Row],[Item]], FIND("-", Table1[[#This Row],[Item]]) - 1)</f>
        <v>STC8</v>
      </c>
      <c r="C851" s="1" t="str">
        <f>MID(LEFT(Table1[[#This Row],[Item]], FIND("{token}", SUBSTITUTE(Table1[[#This Row],[Item]], "-", "{token}", 2)) - 1), FIND("-", Table1[[#This Row],[Item]]) + 1, LEN(Table1[[#This Row],[Item]]))</f>
        <v>N</v>
      </c>
      <c r="D85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5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51" s="1" cm="1">
        <f t="array" ref="F851">VALUE(INDEX(_xlfn.TEXTSPLIT(Table1[[#This Row],[Item]], "-"), 5))</f>
        <v>1</v>
      </c>
      <c r="G851" s="1" cm="1">
        <f t="array" ref="G851">VALUE(INDEX(_xlfn.TEXTSPLIT(Table1[[#This Row],[Item]], "-"), 6))</f>
        <v>0</v>
      </c>
      <c r="H851" s="1" cm="1">
        <f t="array" ref="H851">VALUE(INDEX(_xlfn.TEXTSPLIT(Table1[[#This Row],[Item]], "-"), 7))</f>
        <v>0</v>
      </c>
      <c r="I851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851" s="1" t="str">
        <f>LEFT(RIGHT(Table1[[#This Row],[Item]],6),1)</f>
        <v>Y</v>
      </c>
      <c r="K851" s="1" t="str">
        <f t="shared" si="14"/>
        <v>N</v>
      </c>
      <c r="L851" s="1" t="str">
        <f>RIGHT(Table1[[#This Row],[Item]],2)</f>
        <v>DG</v>
      </c>
      <c r="M851" s="1" t="s">
        <v>33</v>
      </c>
      <c r="N851" s="3" t="s">
        <v>872</v>
      </c>
      <c r="O851" s="1"/>
    </row>
    <row r="852" spans="1:15" ht="15" customHeight="1">
      <c r="A852" t="s">
        <v>873</v>
      </c>
      <c r="B852" s="1" t="str">
        <f>LEFT(Table1[[#This Row],[Item]], FIND("-", Table1[[#This Row],[Item]]) - 1)</f>
        <v>GX06</v>
      </c>
      <c r="C852" s="1" t="str">
        <f>MID(LEFT(Table1[[#This Row],[Item]], FIND("{token}", SUBSTITUTE(Table1[[#This Row],[Item]], "-", "{token}", 2)) - 1), FIND("-", Table1[[#This Row],[Item]]) + 1, LEN(Table1[[#This Row],[Item]]))</f>
        <v>RXL</v>
      </c>
      <c r="D85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5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52" s="1" cm="1">
        <f t="array" ref="F852">VALUE(INDEX(_xlfn.TEXTSPLIT(Table1[[#This Row],[Item]], "-"), 5))</f>
        <v>1</v>
      </c>
      <c r="G852" s="1" cm="1">
        <f t="array" ref="G852">VALUE(INDEX(_xlfn.TEXTSPLIT(Table1[[#This Row],[Item]], "-"), 6))</f>
        <v>0</v>
      </c>
      <c r="H852" s="1" cm="1">
        <f t="array" ref="H852">VALUE(INDEX(_xlfn.TEXTSPLIT(Table1[[#This Row],[Item]], "-"), 7))</f>
        <v>1</v>
      </c>
      <c r="I85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52" s="1" t="str">
        <f>LEFT(RIGHT(Table1[[#This Row],[Item]],6),1)</f>
        <v>N</v>
      </c>
      <c r="K852" s="1" t="str">
        <f t="shared" si="14"/>
        <v>N</v>
      </c>
      <c r="L852" s="1" t="str">
        <f>RIGHT(Table1[[#This Row],[Item]],2)</f>
        <v>DG</v>
      </c>
      <c r="M852" s="1" t="s">
        <v>33</v>
      </c>
      <c r="N852" s="3" t="s">
        <v>873</v>
      </c>
      <c r="O852" s="1"/>
    </row>
    <row r="853" spans="1:15" ht="15" customHeight="1">
      <c r="A853" t="s">
        <v>874</v>
      </c>
      <c r="B853" s="1" t="str">
        <f>LEFT(Table1[[#This Row],[Item]], FIND("-", Table1[[#This Row],[Item]]) - 1)</f>
        <v>GX14</v>
      </c>
      <c r="C853" s="1" t="str">
        <f>MID(LEFT(Table1[[#This Row],[Item]], FIND("{token}", SUBSTITUTE(Table1[[#This Row],[Item]], "-", "{token}", 2)) - 1), FIND("-", Table1[[#This Row],[Item]]) + 1, LEN(Table1[[#This Row],[Item]]))</f>
        <v>DXL</v>
      </c>
      <c r="D85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85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53" s="1" cm="1">
        <f t="array" ref="F853">VALUE(INDEX(_xlfn.TEXTSPLIT(Table1[[#This Row],[Item]], "-"), 5))</f>
        <v>2</v>
      </c>
      <c r="G853" s="1" cm="1">
        <f t="array" ref="G853">VALUE(INDEX(_xlfn.TEXTSPLIT(Table1[[#This Row],[Item]], "-"), 6))</f>
        <v>2</v>
      </c>
      <c r="H853" s="1" cm="1">
        <f t="array" ref="H853">VALUE(INDEX(_xlfn.TEXTSPLIT(Table1[[#This Row],[Item]], "-"), 7))</f>
        <v>1</v>
      </c>
      <c r="I85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53" s="1" t="str">
        <f>LEFT(RIGHT(Table1[[#This Row],[Item]],6),1)</f>
        <v>N</v>
      </c>
      <c r="K853" s="1" t="str">
        <f t="shared" si="14"/>
        <v>N</v>
      </c>
      <c r="L853" s="1" t="str">
        <f>RIGHT(Table1[[#This Row],[Item]],2)</f>
        <v>DG</v>
      </c>
      <c r="M853" s="1" t="s">
        <v>33</v>
      </c>
      <c r="N853" s="3" t="s">
        <v>874</v>
      </c>
      <c r="O853" s="1"/>
    </row>
    <row r="854" spans="1:15" ht="15" customHeight="1">
      <c r="A854" t="s">
        <v>875</v>
      </c>
      <c r="B854" s="1" t="str">
        <f>LEFT(Table1[[#This Row],[Item]], FIND("-", Table1[[#This Row],[Item]]) - 1)</f>
        <v>MA10</v>
      </c>
      <c r="C854" s="1" t="str">
        <f>MID(LEFT(Table1[[#This Row],[Item]], FIND("{token}", SUBSTITUTE(Table1[[#This Row],[Item]], "-", "{token}", 2)) - 1), FIND("-", Table1[[#This Row],[Item]]) + 1, LEN(Table1[[#This Row],[Item]]))</f>
        <v>N</v>
      </c>
      <c r="D85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5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54" s="1" cm="1">
        <f t="array" ref="F854">VALUE(INDEX(_xlfn.TEXTSPLIT(Table1[[#This Row],[Item]], "-"), 5))</f>
        <v>0</v>
      </c>
      <c r="G854" s="1" cm="1">
        <f t="array" ref="G854">VALUE(INDEX(_xlfn.TEXTSPLIT(Table1[[#This Row],[Item]], "-"), 6))</f>
        <v>0</v>
      </c>
      <c r="H854" s="1" cm="1">
        <f t="array" ref="H854">VALUE(INDEX(_xlfn.TEXTSPLIT(Table1[[#This Row],[Item]], "-"), 7))</f>
        <v>0</v>
      </c>
      <c r="I85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54" s="1" t="str">
        <f>LEFT(RIGHT(Table1[[#This Row],[Item]],6),1)</f>
        <v>N</v>
      </c>
      <c r="K854" s="1" t="str">
        <f t="shared" si="14"/>
        <v>Y</v>
      </c>
      <c r="L854" s="1" t="str">
        <f>RIGHT(Table1[[#This Row],[Item]],2)</f>
        <v>DG</v>
      </c>
      <c r="M854" s="1" t="s">
        <v>33</v>
      </c>
      <c r="N854" s="3" t="s">
        <v>875</v>
      </c>
      <c r="O854" s="1"/>
    </row>
    <row r="855" spans="1:15" ht="15" customHeight="1">
      <c r="A855" t="s">
        <v>876</v>
      </c>
      <c r="B855" s="1" t="str">
        <f>LEFT(Table1[[#This Row],[Item]], FIND("-", Table1[[#This Row],[Item]]) - 1)</f>
        <v>GX10</v>
      </c>
      <c r="C855" s="1" t="str">
        <f>MID(LEFT(Table1[[#This Row],[Item]], FIND("{token}", SUBSTITUTE(Table1[[#This Row],[Item]], "-", "{token}", 2)) - 1), FIND("-", Table1[[#This Row],[Item]]) + 1, LEN(Table1[[#This Row],[Item]]))</f>
        <v>R</v>
      </c>
      <c r="D855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85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55" s="1" cm="1">
        <f t="array" ref="F855">VALUE(INDEX(_xlfn.TEXTSPLIT(Table1[[#This Row],[Item]], "-"), 5))</f>
        <v>1</v>
      </c>
      <c r="G855" s="1" cm="1">
        <f t="array" ref="G855">VALUE(INDEX(_xlfn.TEXTSPLIT(Table1[[#This Row],[Item]], "-"), 6))</f>
        <v>2</v>
      </c>
      <c r="H855" s="1" cm="1">
        <f t="array" ref="H855">VALUE(INDEX(_xlfn.TEXTSPLIT(Table1[[#This Row],[Item]], "-"), 7))</f>
        <v>0</v>
      </c>
      <c r="I85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55" s="1" t="str">
        <f>LEFT(RIGHT(Table1[[#This Row],[Item]],6),1)</f>
        <v>N</v>
      </c>
      <c r="K855" s="1" t="str">
        <f t="shared" si="14"/>
        <v>N</v>
      </c>
      <c r="L855" s="1" t="str">
        <f>RIGHT(Table1[[#This Row],[Item]],2)</f>
        <v>DG</v>
      </c>
      <c r="M855" s="1" t="s">
        <v>33</v>
      </c>
      <c r="N855" s="3" t="s">
        <v>876</v>
      </c>
      <c r="O855" s="1"/>
    </row>
    <row r="856" spans="1:15" ht="15" customHeight="1">
      <c r="A856" t="s">
        <v>877</v>
      </c>
      <c r="B856" s="1" t="str">
        <f>LEFT(Table1[[#This Row],[Item]], FIND("-", Table1[[#This Row],[Item]]) - 1)</f>
        <v>GX06</v>
      </c>
      <c r="C856" s="1" t="str">
        <f>MID(LEFT(Table1[[#This Row],[Item]], FIND("{token}", SUBSTITUTE(Table1[[#This Row],[Item]], "-", "{token}", 2)) - 1), FIND("-", Table1[[#This Row],[Item]]) + 1, LEN(Table1[[#This Row],[Item]]))</f>
        <v>R</v>
      </c>
      <c r="D85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5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56" s="1" cm="1">
        <f t="array" ref="F856">VALUE(INDEX(_xlfn.TEXTSPLIT(Table1[[#This Row],[Item]], "-"), 5))</f>
        <v>1</v>
      </c>
      <c r="G856" s="1" cm="1">
        <f t="array" ref="G856">VALUE(INDEX(_xlfn.TEXTSPLIT(Table1[[#This Row],[Item]], "-"), 6))</f>
        <v>0</v>
      </c>
      <c r="H856" s="1" cm="1">
        <f t="array" ref="H856">VALUE(INDEX(_xlfn.TEXTSPLIT(Table1[[#This Row],[Item]], "-"), 7))</f>
        <v>1</v>
      </c>
      <c r="I85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56" s="1" t="str">
        <f>LEFT(RIGHT(Table1[[#This Row],[Item]],6),1)</f>
        <v>N</v>
      </c>
      <c r="K856" s="1" t="str">
        <f t="shared" si="14"/>
        <v>N</v>
      </c>
      <c r="L856" s="1" t="str">
        <f>RIGHT(Table1[[#This Row],[Item]],2)</f>
        <v>DG</v>
      </c>
      <c r="M856" s="1" t="s">
        <v>33</v>
      </c>
      <c r="N856" s="3" t="s">
        <v>877</v>
      </c>
      <c r="O856" s="1"/>
    </row>
    <row r="857" spans="1:15" ht="15" customHeight="1">
      <c r="A857" t="s">
        <v>878</v>
      </c>
      <c r="B857" s="1" t="str">
        <f>LEFT(Table1[[#This Row],[Item]], FIND("-", Table1[[#This Row],[Item]]) - 1)</f>
        <v>GX09</v>
      </c>
      <c r="C857" s="1" t="str">
        <f>MID(LEFT(Table1[[#This Row],[Item]], FIND("{token}", SUBSTITUTE(Table1[[#This Row],[Item]], "-", "{token}", 2)) - 1), FIND("-", Table1[[#This Row],[Item]]) + 1, LEN(Table1[[#This Row],[Item]]))</f>
        <v>R</v>
      </c>
      <c r="D85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85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57" s="1" cm="1">
        <f t="array" ref="F857">VALUE(INDEX(_xlfn.TEXTSPLIT(Table1[[#This Row],[Item]], "-"), 5))</f>
        <v>0</v>
      </c>
      <c r="G857" s="1" cm="1">
        <f t="array" ref="G857">VALUE(INDEX(_xlfn.TEXTSPLIT(Table1[[#This Row],[Item]], "-"), 6))</f>
        <v>1</v>
      </c>
      <c r="H857" s="1" cm="1">
        <f t="array" ref="H857">VALUE(INDEX(_xlfn.TEXTSPLIT(Table1[[#This Row],[Item]], "-"), 7))</f>
        <v>1</v>
      </c>
      <c r="I85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57" s="1" t="str">
        <f>LEFT(RIGHT(Table1[[#This Row],[Item]],6),1)</f>
        <v>N</v>
      </c>
      <c r="K857" s="1" t="str">
        <f t="shared" si="14"/>
        <v>N</v>
      </c>
      <c r="L857" s="1" t="str">
        <f>RIGHT(Table1[[#This Row],[Item]],2)</f>
        <v>DG</v>
      </c>
      <c r="M857" s="1" t="s">
        <v>33</v>
      </c>
      <c r="N857" s="3" t="s">
        <v>878</v>
      </c>
      <c r="O857" s="1"/>
    </row>
    <row r="858" spans="1:15" ht="15" customHeight="1">
      <c r="A858" t="s">
        <v>879</v>
      </c>
      <c r="B858" s="1" t="str">
        <f>LEFT(Table1[[#This Row],[Item]], FIND("-", Table1[[#This Row],[Item]]) - 1)</f>
        <v>GX06</v>
      </c>
      <c r="C858" s="1" t="str">
        <f>MID(LEFT(Table1[[#This Row],[Item]], FIND("{token}", SUBSTITUTE(Table1[[#This Row],[Item]], "-", "{token}", 2)) - 1), FIND("-", Table1[[#This Row],[Item]]) + 1, LEN(Table1[[#This Row],[Item]]))</f>
        <v>R</v>
      </c>
      <c r="D85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5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58" s="1" cm="1">
        <f t="array" ref="F858">VALUE(INDEX(_xlfn.TEXTSPLIT(Table1[[#This Row],[Item]], "-"), 5))</f>
        <v>0</v>
      </c>
      <c r="G858" s="1" cm="1">
        <f t="array" ref="G858">VALUE(INDEX(_xlfn.TEXTSPLIT(Table1[[#This Row],[Item]], "-"), 6))</f>
        <v>1</v>
      </c>
      <c r="H858" s="1" cm="1">
        <f t="array" ref="H858">VALUE(INDEX(_xlfn.TEXTSPLIT(Table1[[#This Row],[Item]], "-"), 7))</f>
        <v>0</v>
      </c>
      <c r="I85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58" s="1" t="str">
        <f>LEFT(RIGHT(Table1[[#This Row],[Item]],6),1)</f>
        <v>N</v>
      </c>
      <c r="K858" s="1" t="str">
        <f t="shared" ref="K858:K921" si="15">MID(A858, LEN(A858)-3, 1)</f>
        <v>N</v>
      </c>
      <c r="L858" s="1" t="str">
        <f>RIGHT(Table1[[#This Row],[Item]],2)</f>
        <v>DG</v>
      </c>
      <c r="M858" s="1" t="s">
        <v>33</v>
      </c>
      <c r="N858" s="3" t="s">
        <v>879</v>
      </c>
      <c r="O858" s="1"/>
    </row>
    <row r="859" spans="1:15" ht="15" customHeight="1">
      <c r="A859" t="s">
        <v>880</v>
      </c>
      <c r="B859" s="1" t="str">
        <f>LEFT(Table1[[#This Row],[Item]], FIND("-", Table1[[#This Row],[Item]]) - 1)</f>
        <v>GX10</v>
      </c>
      <c r="C859" s="1" t="str">
        <f>MID(LEFT(Table1[[#This Row],[Item]], FIND("{token}", SUBSTITUTE(Table1[[#This Row],[Item]], "-", "{token}", 2)) - 1), FIND("-", Table1[[#This Row],[Item]]) + 1, LEN(Table1[[#This Row],[Item]]))</f>
        <v>L</v>
      </c>
      <c r="D859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85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59" s="1" cm="1">
        <f t="array" ref="F859">VALUE(INDEX(_xlfn.TEXTSPLIT(Table1[[#This Row],[Item]], "-"), 5))</f>
        <v>1</v>
      </c>
      <c r="G859" s="1" cm="1">
        <f t="array" ref="G859">VALUE(INDEX(_xlfn.TEXTSPLIT(Table1[[#This Row],[Item]], "-"), 6))</f>
        <v>2</v>
      </c>
      <c r="H859" s="1" cm="1">
        <f t="array" ref="H859">VALUE(INDEX(_xlfn.TEXTSPLIT(Table1[[#This Row],[Item]], "-"), 7))</f>
        <v>0</v>
      </c>
      <c r="I85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59" s="1" t="str">
        <f>LEFT(RIGHT(Table1[[#This Row],[Item]],6),1)</f>
        <v>N</v>
      </c>
      <c r="K859" s="1" t="str">
        <f t="shared" si="15"/>
        <v>N</v>
      </c>
      <c r="L859" s="1" t="str">
        <f>RIGHT(Table1[[#This Row],[Item]],2)</f>
        <v>DG</v>
      </c>
      <c r="M859" s="1" t="s">
        <v>33</v>
      </c>
      <c r="N859" s="3" t="s">
        <v>880</v>
      </c>
      <c r="O859" s="1"/>
    </row>
    <row r="860" spans="1:15" ht="15" customHeight="1">
      <c r="A860" t="s">
        <v>881</v>
      </c>
      <c r="B860" s="1" t="str">
        <f>LEFT(Table1[[#This Row],[Item]], FIND("-", Table1[[#This Row],[Item]]) - 1)</f>
        <v>GX10</v>
      </c>
      <c r="C860" s="1" t="str">
        <f>MID(LEFT(Table1[[#This Row],[Item]], FIND("{token}", SUBSTITUTE(Table1[[#This Row],[Item]], "-", "{token}", 2)) - 1), FIND("-", Table1[[#This Row],[Item]]) + 1, LEN(Table1[[#This Row],[Item]]))</f>
        <v>R</v>
      </c>
      <c r="D86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6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60" s="1" cm="1">
        <f t="array" ref="F860">VALUE(INDEX(_xlfn.TEXTSPLIT(Table1[[#This Row],[Item]], "-"), 5))</f>
        <v>1</v>
      </c>
      <c r="G860" s="1" cm="1">
        <f t="array" ref="G860">VALUE(INDEX(_xlfn.TEXTSPLIT(Table1[[#This Row],[Item]], "-"), 6))</f>
        <v>2</v>
      </c>
      <c r="H860" s="1" cm="1">
        <f t="array" ref="H860">VALUE(INDEX(_xlfn.TEXTSPLIT(Table1[[#This Row],[Item]], "-"), 7))</f>
        <v>0</v>
      </c>
      <c r="I86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60" s="1" t="str">
        <f>LEFT(RIGHT(Table1[[#This Row],[Item]],6),1)</f>
        <v>N</v>
      </c>
      <c r="K860" s="1" t="str">
        <f t="shared" si="15"/>
        <v>N</v>
      </c>
      <c r="L860" s="1" t="str">
        <f>RIGHT(Table1[[#This Row],[Item]],2)</f>
        <v>DG</v>
      </c>
      <c r="M860" s="1" t="s">
        <v>33</v>
      </c>
      <c r="N860" s="3" t="s">
        <v>881</v>
      </c>
      <c r="O860" s="1"/>
    </row>
    <row r="861" spans="1:15" ht="15" customHeight="1">
      <c r="A861" t="s">
        <v>882</v>
      </c>
      <c r="B861" s="1" t="str">
        <f>LEFT(Table1[[#This Row],[Item]], FIND("-", Table1[[#This Row],[Item]]) - 1)</f>
        <v>GX10</v>
      </c>
      <c r="C861" s="1" t="str">
        <f>MID(LEFT(Table1[[#This Row],[Item]], FIND("{token}", SUBSTITUTE(Table1[[#This Row],[Item]], "-", "{token}", 2)) - 1), FIND("-", Table1[[#This Row],[Item]]) + 1, LEN(Table1[[#This Row],[Item]]))</f>
        <v>CXL</v>
      </c>
      <c r="D86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86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61" s="1" cm="1">
        <f t="array" ref="F861">VALUE(INDEX(_xlfn.TEXTSPLIT(Table1[[#This Row],[Item]], "-"), 5))</f>
        <v>1</v>
      </c>
      <c r="G861" s="1" cm="1">
        <f t="array" ref="G861">VALUE(INDEX(_xlfn.TEXTSPLIT(Table1[[#This Row],[Item]], "-"), 6))</f>
        <v>1</v>
      </c>
      <c r="H861" s="1" cm="1">
        <f t="array" ref="H861">VALUE(INDEX(_xlfn.TEXTSPLIT(Table1[[#This Row],[Item]], "-"), 7))</f>
        <v>1</v>
      </c>
      <c r="I86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61" s="1" t="str">
        <f>LEFT(RIGHT(Table1[[#This Row],[Item]],6),1)</f>
        <v>N</v>
      </c>
      <c r="K861" s="1" t="str">
        <f t="shared" si="15"/>
        <v>N</v>
      </c>
      <c r="L861" s="1" t="str">
        <f>RIGHT(Table1[[#This Row],[Item]],2)</f>
        <v>DG</v>
      </c>
      <c r="M861" s="1" t="s">
        <v>33</v>
      </c>
      <c r="N861" s="3" t="s">
        <v>882</v>
      </c>
      <c r="O861" s="1"/>
    </row>
    <row r="862" spans="1:15" ht="15" customHeight="1">
      <c r="A862" t="s">
        <v>883</v>
      </c>
      <c r="B862" s="1" t="str">
        <f>LEFT(Table1[[#This Row],[Item]], FIND("-", Table1[[#This Row],[Item]]) - 1)</f>
        <v>GX08</v>
      </c>
      <c r="C862" s="1" t="str">
        <f>MID(LEFT(Table1[[#This Row],[Item]], FIND("{token}", SUBSTITUTE(Table1[[#This Row],[Item]], "-", "{token}", 2)) - 1), FIND("-", Table1[[#This Row],[Item]]) + 1, LEN(Table1[[#This Row],[Item]]))</f>
        <v>L</v>
      </c>
      <c r="D86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6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62" s="1" cm="1">
        <f t="array" ref="F862">VALUE(INDEX(_xlfn.TEXTSPLIT(Table1[[#This Row],[Item]], "-"), 5))</f>
        <v>0</v>
      </c>
      <c r="G862" s="1" cm="1">
        <f t="array" ref="G862">VALUE(INDEX(_xlfn.TEXTSPLIT(Table1[[#This Row],[Item]], "-"), 6))</f>
        <v>0</v>
      </c>
      <c r="H862" s="1" cm="1">
        <f t="array" ref="H862">VALUE(INDEX(_xlfn.TEXTSPLIT(Table1[[#This Row],[Item]], "-"), 7))</f>
        <v>0</v>
      </c>
      <c r="I86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62" s="1" t="str">
        <f>LEFT(RIGHT(Table1[[#This Row],[Item]],6),1)</f>
        <v>N</v>
      </c>
      <c r="K862" s="1" t="str">
        <f t="shared" si="15"/>
        <v>N</v>
      </c>
      <c r="L862" s="1" t="str">
        <f>RIGHT(Table1[[#This Row],[Item]],2)</f>
        <v>DG</v>
      </c>
      <c r="M862" s="1" t="s">
        <v>33</v>
      </c>
      <c r="N862" s="3" t="s">
        <v>883</v>
      </c>
      <c r="O862" s="1"/>
    </row>
    <row r="863" spans="1:15" ht="15" customHeight="1">
      <c r="A863" t="s">
        <v>884</v>
      </c>
      <c r="B863" s="1" t="str">
        <f>LEFT(Table1[[#This Row],[Item]], FIND("-", Table1[[#This Row],[Item]]) - 1)</f>
        <v>GX12</v>
      </c>
      <c r="C863" s="1" t="str">
        <f>MID(LEFT(Table1[[#This Row],[Item]], FIND("{token}", SUBSTITUTE(Table1[[#This Row],[Item]], "-", "{token}", 2)) - 1), FIND("-", Table1[[#This Row],[Item]]) + 1, LEN(Table1[[#This Row],[Item]]))</f>
        <v>D</v>
      </c>
      <c r="D86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6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63" s="1" cm="1">
        <f t="array" ref="F863">VALUE(INDEX(_xlfn.TEXTSPLIT(Table1[[#This Row],[Item]], "-"), 5))</f>
        <v>0</v>
      </c>
      <c r="G863" s="1" cm="1">
        <f t="array" ref="G863">VALUE(INDEX(_xlfn.TEXTSPLIT(Table1[[#This Row],[Item]], "-"), 6))</f>
        <v>2</v>
      </c>
      <c r="H863" s="1" cm="1">
        <f t="array" ref="H863">VALUE(INDEX(_xlfn.TEXTSPLIT(Table1[[#This Row],[Item]], "-"), 7))</f>
        <v>1</v>
      </c>
      <c r="I86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63" s="1" t="str">
        <f>LEFT(RIGHT(Table1[[#This Row],[Item]],6),1)</f>
        <v>N</v>
      </c>
      <c r="K863" s="1" t="str">
        <f t="shared" si="15"/>
        <v>N</v>
      </c>
      <c r="L863" s="1" t="str">
        <f>RIGHT(Table1[[#This Row],[Item]],2)</f>
        <v>DG</v>
      </c>
      <c r="M863" s="1" t="s">
        <v>33</v>
      </c>
      <c r="N863" s="3" t="s">
        <v>884</v>
      </c>
      <c r="O863" s="1"/>
    </row>
    <row r="864" spans="1:15" ht="15" customHeight="1">
      <c r="A864" t="s">
        <v>885</v>
      </c>
      <c r="B864" s="1" t="str">
        <f>LEFT(Table1[[#This Row],[Item]], FIND("-", Table1[[#This Row],[Item]]) - 1)</f>
        <v>GX12</v>
      </c>
      <c r="C864" s="1" t="str">
        <f>MID(LEFT(Table1[[#This Row],[Item]], FIND("{token}", SUBSTITUTE(Table1[[#This Row],[Item]], "-", "{token}", 2)) - 1), FIND("-", Table1[[#This Row],[Item]]) + 1, LEN(Table1[[#This Row],[Item]]))</f>
        <v>CXL</v>
      </c>
      <c r="D86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6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64" s="1" cm="1">
        <f t="array" ref="F864">VALUE(INDEX(_xlfn.TEXTSPLIT(Table1[[#This Row],[Item]], "-"), 5))</f>
        <v>1</v>
      </c>
      <c r="G864" s="1" cm="1">
        <f t="array" ref="G864">VALUE(INDEX(_xlfn.TEXTSPLIT(Table1[[#This Row],[Item]], "-"), 6))</f>
        <v>2</v>
      </c>
      <c r="H864" s="1" cm="1">
        <f t="array" ref="H864">VALUE(INDEX(_xlfn.TEXTSPLIT(Table1[[#This Row],[Item]], "-"), 7))</f>
        <v>0</v>
      </c>
      <c r="I86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64" s="1" t="str">
        <f>LEFT(RIGHT(Table1[[#This Row],[Item]],6),1)</f>
        <v>N</v>
      </c>
      <c r="K864" s="1" t="str">
        <f t="shared" si="15"/>
        <v>N</v>
      </c>
      <c r="L864" s="1" t="str">
        <f>RIGHT(Table1[[#This Row],[Item]],2)</f>
        <v>DG</v>
      </c>
      <c r="M864" s="1" t="s">
        <v>33</v>
      </c>
      <c r="N864" s="3" t="s">
        <v>885</v>
      </c>
      <c r="O864" s="1"/>
    </row>
    <row r="865" spans="1:15" ht="15" customHeight="1">
      <c r="A865" t="s">
        <v>886</v>
      </c>
      <c r="B865" s="1" t="str">
        <f>LEFT(Table1[[#This Row],[Item]], FIND("-", Table1[[#This Row],[Item]]) - 1)</f>
        <v>GX14</v>
      </c>
      <c r="C865" s="1" t="str">
        <f>MID(LEFT(Table1[[#This Row],[Item]], FIND("{token}", SUBSTITUTE(Table1[[#This Row],[Item]], "-", "{token}", 2)) - 1), FIND("-", Table1[[#This Row],[Item]]) + 1, LEN(Table1[[#This Row],[Item]]))</f>
        <v>D</v>
      </c>
      <c r="D865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86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65" s="1" cm="1">
        <f t="array" ref="F865">VALUE(INDEX(_xlfn.TEXTSPLIT(Table1[[#This Row],[Item]], "-"), 5))</f>
        <v>2</v>
      </c>
      <c r="G865" s="1" cm="1">
        <f t="array" ref="G865">VALUE(INDEX(_xlfn.TEXTSPLIT(Table1[[#This Row],[Item]], "-"), 6))</f>
        <v>1</v>
      </c>
      <c r="H865" s="1" cm="1">
        <f t="array" ref="H865">VALUE(INDEX(_xlfn.TEXTSPLIT(Table1[[#This Row],[Item]], "-"), 7))</f>
        <v>1</v>
      </c>
      <c r="I86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65" s="1" t="str">
        <f>LEFT(RIGHT(Table1[[#This Row],[Item]],6),1)</f>
        <v>N</v>
      </c>
      <c r="K865" s="1" t="str">
        <f t="shared" si="15"/>
        <v>N</v>
      </c>
      <c r="L865" s="1" t="str">
        <f>RIGHT(Table1[[#This Row],[Item]],2)</f>
        <v>DG</v>
      </c>
      <c r="M865" s="1" t="s">
        <v>33</v>
      </c>
      <c r="N865" s="3" t="s">
        <v>886</v>
      </c>
      <c r="O865" s="1"/>
    </row>
    <row r="866" spans="1:15" ht="15" customHeight="1">
      <c r="A866" t="s">
        <v>887</v>
      </c>
      <c r="B866" s="1" t="str">
        <f>LEFT(Table1[[#This Row],[Item]], FIND("-", Table1[[#This Row],[Item]]) - 1)</f>
        <v>GX10</v>
      </c>
      <c r="C866" s="1" t="str">
        <f>MID(LEFT(Table1[[#This Row],[Item]], FIND("{token}", SUBSTITUTE(Table1[[#This Row],[Item]], "-", "{token}", 2)) - 1), FIND("-", Table1[[#This Row],[Item]]) + 1, LEN(Table1[[#This Row],[Item]]))</f>
        <v>CXL</v>
      </c>
      <c r="D866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86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66" s="1" cm="1">
        <f t="array" ref="F866">VALUE(INDEX(_xlfn.TEXTSPLIT(Table1[[#This Row],[Item]], "-"), 5))</f>
        <v>1</v>
      </c>
      <c r="G866" s="1" cm="1">
        <f t="array" ref="G866">VALUE(INDEX(_xlfn.TEXTSPLIT(Table1[[#This Row],[Item]], "-"), 6))</f>
        <v>1</v>
      </c>
      <c r="H866" s="1" cm="1">
        <f t="array" ref="H866">VALUE(INDEX(_xlfn.TEXTSPLIT(Table1[[#This Row],[Item]], "-"), 7))</f>
        <v>1</v>
      </c>
      <c r="I86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66" s="1" t="str">
        <f>LEFT(RIGHT(Table1[[#This Row],[Item]],6),1)</f>
        <v>N</v>
      </c>
      <c r="K866" s="1" t="str">
        <f t="shared" si="15"/>
        <v>N</v>
      </c>
      <c r="L866" s="1" t="str">
        <f>RIGHT(Table1[[#This Row],[Item]],2)</f>
        <v>DG</v>
      </c>
      <c r="M866" s="1" t="s">
        <v>33</v>
      </c>
      <c r="N866" s="3" t="s">
        <v>887</v>
      </c>
      <c r="O866" s="1"/>
    </row>
    <row r="867" spans="1:15" ht="15" customHeight="1">
      <c r="A867" t="s">
        <v>888</v>
      </c>
      <c r="B867" s="1" t="str">
        <f>LEFT(Table1[[#This Row],[Item]], FIND("-", Table1[[#This Row],[Item]]) - 1)</f>
        <v>ARB8</v>
      </c>
      <c r="C867" s="1" t="str">
        <f>MID(LEFT(Table1[[#This Row],[Item]], FIND("{token}", SUBSTITUTE(Table1[[#This Row],[Item]], "-", "{token}", 2)) - 1), FIND("-", Table1[[#This Row],[Item]]) + 1, LEN(Table1[[#This Row],[Item]]))</f>
        <v>L</v>
      </c>
      <c r="D86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6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67" s="1" cm="1">
        <f t="array" ref="F867">VALUE(INDEX(_xlfn.TEXTSPLIT(Table1[[#This Row],[Item]], "-"), 5))</f>
        <v>1</v>
      </c>
      <c r="G867" s="1" cm="1">
        <f t="array" ref="G867">VALUE(INDEX(_xlfn.TEXTSPLIT(Table1[[#This Row],[Item]], "-"), 6))</f>
        <v>0</v>
      </c>
      <c r="H867" s="1" cm="1">
        <f t="array" ref="H867">VALUE(INDEX(_xlfn.TEXTSPLIT(Table1[[#This Row],[Item]], "-"), 7))</f>
        <v>0</v>
      </c>
      <c r="I86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67" s="1" t="str">
        <f>LEFT(RIGHT(Table1[[#This Row],[Item]],6),1)</f>
        <v>Y</v>
      </c>
      <c r="K867" s="1" t="str">
        <f t="shared" si="15"/>
        <v>N</v>
      </c>
      <c r="L867" s="1" t="str">
        <f>RIGHT(Table1[[#This Row],[Item]],2)</f>
        <v>DG</v>
      </c>
      <c r="M867" s="1" t="s">
        <v>33</v>
      </c>
      <c r="N867" s="3" t="s">
        <v>888</v>
      </c>
      <c r="O867" s="1"/>
    </row>
    <row r="868" spans="1:15" ht="15" customHeight="1">
      <c r="A868" t="s">
        <v>889</v>
      </c>
      <c r="B868" s="1" t="str">
        <f>LEFT(Table1[[#This Row],[Item]], FIND("-", Table1[[#This Row],[Item]]) - 1)</f>
        <v>GX09</v>
      </c>
      <c r="C868" s="1" t="str">
        <f>MID(LEFT(Table1[[#This Row],[Item]], FIND("{token}", SUBSTITUTE(Table1[[#This Row],[Item]], "-", "{token}", 2)) - 1), FIND("-", Table1[[#This Row],[Item]]) + 1, LEN(Table1[[#This Row],[Item]]))</f>
        <v>RXL</v>
      </c>
      <c r="D868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86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68" s="1" cm="1">
        <f t="array" ref="F868">VALUE(INDEX(_xlfn.TEXTSPLIT(Table1[[#This Row],[Item]], "-"), 5))</f>
        <v>1</v>
      </c>
      <c r="G868" s="1" cm="1">
        <f t="array" ref="G868">VALUE(INDEX(_xlfn.TEXTSPLIT(Table1[[#This Row],[Item]], "-"), 6))</f>
        <v>1</v>
      </c>
      <c r="H868" s="1" cm="1">
        <f t="array" ref="H868">VALUE(INDEX(_xlfn.TEXTSPLIT(Table1[[#This Row],[Item]], "-"), 7))</f>
        <v>0</v>
      </c>
      <c r="I86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68" s="1" t="str">
        <f>LEFT(RIGHT(Table1[[#This Row],[Item]],6),1)</f>
        <v>N</v>
      </c>
      <c r="K868" s="1" t="str">
        <f t="shared" si="15"/>
        <v>N</v>
      </c>
      <c r="L868" s="1" t="str">
        <f>RIGHT(Table1[[#This Row],[Item]],2)</f>
        <v>DG</v>
      </c>
      <c r="M868" s="1" t="s">
        <v>33</v>
      </c>
      <c r="N868" s="3" t="s">
        <v>889</v>
      </c>
      <c r="O868" s="1"/>
    </row>
    <row r="869" spans="1:15" ht="15" customHeight="1">
      <c r="A869" t="s">
        <v>890</v>
      </c>
      <c r="B869" s="1" t="str">
        <f>LEFT(Table1[[#This Row],[Item]], FIND("-", Table1[[#This Row],[Item]]) - 1)</f>
        <v>GX12</v>
      </c>
      <c r="C869" s="1" t="str">
        <f>MID(LEFT(Table1[[#This Row],[Item]], FIND("{token}", SUBSTITUTE(Table1[[#This Row],[Item]], "-", "{token}", 2)) - 1), FIND("-", Table1[[#This Row],[Item]]) + 1, LEN(Table1[[#This Row],[Item]]))</f>
        <v>CXL</v>
      </c>
      <c r="D869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86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69" s="1" cm="1">
        <f t="array" ref="F869">VALUE(INDEX(_xlfn.TEXTSPLIT(Table1[[#This Row],[Item]], "-"), 5))</f>
        <v>2</v>
      </c>
      <c r="G869" s="1" cm="1">
        <f t="array" ref="G869">VALUE(INDEX(_xlfn.TEXTSPLIT(Table1[[#This Row],[Item]], "-"), 6))</f>
        <v>2</v>
      </c>
      <c r="H869" s="1" cm="1">
        <f t="array" ref="H869">VALUE(INDEX(_xlfn.TEXTSPLIT(Table1[[#This Row],[Item]], "-"), 7))</f>
        <v>1</v>
      </c>
      <c r="I86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869" s="1" t="str">
        <f>LEFT(RIGHT(Table1[[#This Row],[Item]],6),1)</f>
        <v>N</v>
      </c>
      <c r="K869" s="1" t="str">
        <f t="shared" si="15"/>
        <v>N</v>
      </c>
      <c r="L869" s="1" t="str">
        <f>RIGHT(Table1[[#This Row],[Item]],2)</f>
        <v>DG</v>
      </c>
      <c r="M869" s="1" t="s">
        <v>33</v>
      </c>
      <c r="N869" s="3" t="s">
        <v>890</v>
      </c>
      <c r="O869" s="1"/>
    </row>
    <row r="870" spans="1:15" ht="15" customHeight="1">
      <c r="A870" t="s">
        <v>891</v>
      </c>
      <c r="B870" s="1" t="str">
        <f>LEFT(Table1[[#This Row],[Item]], FIND("-", Table1[[#This Row],[Item]]) - 1)</f>
        <v>ARB6</v>
      </c>
      <c r="C870" s="1" t="str">
        <f>MID(LEFT(Table1[[#This Row],[Item]], FIND("{token}", SUBSTITUTE(Table1[[#This Row],[Item]], "-", "{token}", 2)) - 1), FIND("-", Table1[[#This Row],[Item]]) + 1, LEN(Table1[[#This Row],[Item]]))</f>
        <v>L</v>
      </c>
      <c r="D87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7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70" s="1" cm="1">
        <f t="array" ref="F870">VALUE(INDEX(_xlfn.TEXTSPLIT(Table1[[#This Row],[Item]], "-"), 5))</f>
        <v>1</v>
      </c>
      <c r="G870" s="1" cm="1">
        <f t="array" ref="G870">VALUE(INDEX(_xlfn.TEXTSPLIT(Table1[[#This Row],[Item]], "-"), 6))</f>
        <v>0</v>
      </c>
      <c r="H870" s="1" cm="1">
        <f t="array" ref="H870">VALUE(INDEX(_xlfn.TEXTSPLIT(Table1[[#This Row],[Item]], "-"), 7))</f>
        <v>0</v>
      </c>
      <c r="I870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70" s="1" t="str">
        <f>LEFT(RIGHT(Table1[[#This Row],[Item]],6),1)</f>
        <v>Y</v>
      </c>
      <c r="K870" s="1" t="str">
        <f t="shared" si="15"/>
        <v>N</v>
      </c>
      <c r="L870" s="1" t="str">
        <f>RIGHT(Table1[[#This Row],[Item]],2)</f>
        <v>DG</v>
      </c>
      <c r="M870" s="1" t="s">
        <v>33</v>
      </c>
      <c r="N870" s="3" t="s">
        <v>689</v>
      </c>
      <c r="O870" s="1"/>
    </row>
    <row r="871" spans="1:15" ht="15" customHeight="1">
      <c r="A871" t="s">
        <v>892</v>
      </c>
      <c r="B871" s="1" t="str">
        <f>LEFT(Table1[[#This Row],[Item]], FIND("-", Table1[[#This Row],[Item]]) - 1)</f>
        <v>ARB6</v>
      </c>
      <c r="C871" s="1" t="str">
        <f>MID(LEFT(Table1[[#This Row],[Item]], FIND("{token}", SUBSTITUTE(Table1[[#This Row],[Item]], "-", "{token}", 2)) - 1), FIND("-", Table1[[#This Row],[Item]]) + 1, LEN(Table1[[#This Row],[Item]]))</f>
        <v>L</v>
      </c>
      <c r="D87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7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71" s="1" cm="1">
        <f t="array" ref="F871">VALUE(INDEX(_xlfn.TEXTSPLIT(Table1[[#This Row],[Item]], "-"), 5))</f>
        <v>1</v>
      </c>
      <c r="G871" s="1" cm="1">
        <f t="array" ref="G871">VALUE(INDEX(_xlfn.TEXTSPLIT(Table1[[#This Row],[Item]], "-"), 6))</f>
        <v>0</v>
      </c>
      <c r="H871" s="1" cm="1">
        <f t="array" ref="H871">VALUE(INDEX(_xlfn.TEXTSPLIT(Table1[[#This Row],[Item]], "-"), 7))</f>
        <v>0</v>
      </c>
      <c r="I871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71" s="1" t="str">
        <f>LEFT(RIGHT(Table1[[#This Row],[Item]],6),1)</f>
        <v>Y</v>
      </c>
      <c r="K871" s="1" t="str">
        <f t="shared" si="15"/>
        <v>Y</v>
      </c>
      <c r="L871" s="1" t="str">
        <f>RIGHT(Table1[[#This Row],[Item]],2)</f>
        <v>DG</v>
      </c>
      <c r="M871" s="1" t="s">
        <v>33</v>
      </c>
      <c r="N871" s="3" t="s">
        <v>690</v>
      </c>
      <c r="O871" s="1"/>
    </row>
    <row r="872" spans="1:15" ht="15" customHeight="1">
      <c r="A872" t="s">
        <v>893</v>
      </c>
      <c r="B872" s="1" t="str">
        <f>LEFT(Table1[[#This Row],[Item]], FIND("-", Table1[[#This Row],[Item]]) - 1)</f>
        <v>ARB8</v>
      </c>
      <c r="C872" s="1" t="str">
        <f>MID(LEFT(Table1[[#This Row],[Item]], FIND("{token}", SUBSTITUTE(Table1[[#This Row],[Item]], "-", "{token}", 2)) - 1), FIND("-", Table1[[#This Row],[Item]]) + 1, LEN(Table1[[#This Row],[Item]]))</f>
        <v>L</v>
      </c>
      <c r="D872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87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72" s="1" cm="1">
        <f t="array" ref="F872">VALUE(INDEX(_xlfn.TEXTSPLIT(Table1[[#This Row],[Item]], "-"), 5))</f>
        <v>1</v>
      </c>
      <c r="G872" s="1" cm="1">
        <f t="array" ref="G872">VALUE(INDEX(_xlfn.TEXTSPLIT(Table1[[#This Row],[Item]], "-"), 6))</f>
        <v>0</v>
      </c>
      <c r="H872" s="1" cm="1">
        <f t="array" ref="H872">VALUE(INDEX(_xlfn.TEXTSPLIT(Table1[[#This Row],[Item]], "-"), 7))</f>
        <v>0</v>
      </c>
      <c r="I872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72" s="1" t="str">
        <f>LEFT(RIGHT(Table1[[#This Row],[Item]],6),1)</f>
        <v>Y</v>
      </c>
      <c r="K872" s="1" t="str">
        <f t="shared" si="15"/>
        <v>N</v>
      </c>
      <c r="L872" s="1" t="str">
        <f>RIGHT(Table1[[#This Row],[Item]],2)</f>
        <v>DG</v>
      </c>
      <c r="M872" s="1" t="s">
        <v>33</v>
      </c>
      <c r="N872" s="3" t="s">
        <v>692</v>
      </c>
      <c r="O872" s="1"/>
    </row>
    <row r="873" spans="1:15" ht="15" customHeight="1">
      <c r="A873" t="s">
        <v>894</v>
      </c>
      <c r="B873" s="1" t="str">
        <f>LEFT(Table1[[#This Row],[Item]], FIND("-", Table1[[#This Row],[Item]]) - 1)</f>
        <v>ARB8</v>
      </c>
      <c r="C873" s="1" t="str">
        <f>MID(LEFT(Table1[[#This Row],[Item]], FIND("{token}", SUBSTITUTE(Table1[[#This Row],[Item]], "-", "{token}", 2)) - 1), FIND("-", Table1[[#This Row],[Item]]) + 1, LEN(Table1[[#This Row],[Item]]))</f>
        <v>L</v>
      </c>
      <c r="D873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87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73" s="1" cm="1">
        <f t="array" ref="F873">VALUE(INDEX(_xlfn.TEXTSPLIT(Table1[[#This Row],[Item]], "-"), 5))</f>
        <v>1</v>
      </c>
      <c r="G873" s="1" cm="1">
        <f t="array" ref="G873">VALUE(INDEX(_xlfn.TEXTSPLIT(Table1[[#This Row],[Item]], "-"), 6))</f>
        <v>0</v>
      </c>
      <c r="H873" s="1" cm="1">
        <f t="array" ref="H873">VALUE(INDEX(_xlfn.TEXTSPLIT(Table1[[#This Row],[Item]], "-"), 7))</f>
        <v>0</v>
      </c>
      <c r="I873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73" s="1" t="str">
        <f>LEFT(RIGHT(Table1[[#This Row],[Item]],6),1)</f>
        <v>Y</v>
      </c>
      <c r="K873" s="1" t="str">
        <f t="shared" si="15"/>
        <v>Y</v>
      </c>
      <c r="L873" s="1" t="str">
        <f>RIGHT(Table1[[#This Row],[Item]],2)</f>
        <v>DG</v>
      </c>
      <c r="M873" s="1" t="s">
        <v>33</v>
      </c>
      <c r="N873" s="3" t="s">
        <v>694</v>
      </c>
      <c r="O873" s="1"/>
    </row>
    <row r="874" spans="1:15" ht="15" customHeight="1">
      <c r="A874" t="s">
        <v>895</v>
      </c>
      <c r="B874" s="1" t="str">
        <f>LEFT(Table1[[#This Row],[Item]], FIND("-", Table1[[#This Row],[Item]]) - 1)</f>
        <v>ARB8</v>
      </c>
      <c r="C874" s="1" t="str">
        <f>MID(LEFT(Table1[[#This Row],[Item]], FIND("{token}", SUBSTITUTE(Table1[[#This Row],[Item]], "-", "{token}", 2)) - 1), FIND("-", Table1[[#This Row],[Item]]) + 1, LEN(Table1[[#This Row],[Item]]))</f>
        <v>L</v>
      </c>
      <c r="D874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87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74" s="1" cm="1">
        <f t="array" ref="F874">VALUE(INDEX(_xlfn.TEXTSPLIT(Table1[[#This Row],[Item]], "-"), 5))</f>
        <v>1</v>
      </c>
      <c r="G874" s="1" cm="1">
        <f t="array" ref="G874">VALUE(INDEX(_xlfn.TEXTSPLIT(Table1[[#This Row],[Item]], "-"), 6))</f>
        <v>1</v>
      </c>
      <c r="H874" s="1" cm="1">
        <f t="array" ref="H874">VALUE(INDEX(_xlfn.TEXTSPLIT(Table1[[#This Row],[Item]], "-"), 7))</f>
        <v>0</v>
      </c>
      <c r="I874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74" s="1" t="str">
        <f>LEFT(RIGHT(Table1[[#This Row],[Item]],6),1)</f>
        <v>Y</v>
      </c>
      <c r="K874" s="1" t="str">
        <f t="shared" si="15"/>
        <v>N</v>
      </c>
      <c r="L874" s="1" t="str">
        <f>RIGHT(Table1[[#This Row],[Item]],2)</f>
        <v>DG</v>
      </c>
      <c r="M874" s="1" t="s">
        <v>33</v>
      </c>
      <c r="N874" s="3" t="s">
        <v>696</v>
      </c>
      <c r="O874" s="1"/>
    </row>
    <row r="875" spans="1:15" ht="15" customHeight="1">
      <c r="A875" t="s">
        <v>896</v>
      </c>
      <c r="B875" s="1" t="str">
        <f>LEFT(Table1[[#This Row],[Item]], FIND("-", Table1[[#This Row],[Item]]) - 1)</f>
        <v>ARB8</v>
      </c>
      <c r="C875" s="1" t="str">
        <f>MID(LEFT(Table1[[#This Row],[Item]], FIND("{token}", SUBSTITUTE(Table1[[#This Row],[Item]], "-", "{token}", 2)) - 1), FIND("-", Table1[[#This Row],[Item]]) + 1, LEN(Table1[[#This Row],[Item]]))</f>
        <v>L</v>
      </c>
      <c r="D875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87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75" s="1" cm="1">
        <f t="array" ref="F875">VALUE(INDEX(_xlfn.TEXTSPLIT(Table1[[#This Row],[Item]], "-"), 5))</f>
        <v>1</v>
      </c>
      <c r="G875" s="1" cm="1">
        <f t="array" ref="G875">VALUE(INDEX(_xlfn.TEXTSPLIT(Table1[[#This Row],[Item]], "-"), 6))</f>
        <v>1</v>
      </c>
      <c r="H875" s="1" cm="1">
        <f t="array" ref="H875">VALUE(INDEX(_xlfn.TEXTSPLIT(Table1[[#This Row],[Item]], "-"), 7))</f>
        <v>0</v>
      </c>
      <c r="I875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75" s="1" t="str">
        <f>LEFT(RIGHT(Table1[[#This Row],[Item]],6),1)</f>
        <v>Y</v>
      </c>
      <c r="K875" s="1" t="str">
        <f t="shared" si="15"/>
        <v>Y</v>
      </c>
      <c r="L875" s="1" t="str">
        <f>RIGHT(Table1[[#This Row],[Item]],2)</f>
        <v>DG</v>
      </c>
      <c r="M875" s="1" t="s">
        <v>33</v>
      </c>
      <c r="N875" s="3" t="s">
        <v>697</v>
      </c>
      <c r="O875" s="1"/>
    </row>
    <row r="876" spans="1:15" ht="15" customHeight="1">
      <c r="A876" t="s">
        <v>897</v>
      </c>
      <c r="B876" s="1" t="str">
        <f>LEFT(Table1[[#This Row],[Item]], FIND("-", Table1[[#This Row],[Item]]) - 1)</f>
        <v>ARB8</v>
      </c>
      <c r="C876" s="1" t="str">
        <f>MID(LEFT(Table1[[#This Row],[Item]], FIND("{token}", SUBSTITUTE(Table1[[#This Row],[Item]], "-", "{token}", 2)) - 1), FIND("-", Table1[[#This Row],[Item]]) + 1, LEN(Table1[[#This Row],[Item]]))</f>
        <v>L</v>
      </c>
      <c r="D87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7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76" s="1" cm="1">
        <f t="array" ref="F876">VALUE(INDEX(_xlfn.TEXTSPLIT(Table1[[#This Row],[Item]], "-"), 5))</f>
        <v>1</v>
      </c>
      <c r="G876" s="1" cm="1">
        <f t="array" ref="G876">VALUE(INDEX(_xlfn.TEXTSPLIT(Table1[[#This Row],[Item]], "-"), 6))</f>
        <v>0</v>
      </c>
      <c r="H876" s="1" cm="1">
        <f t="array" ref="H876">VALUE(INDEX(_xlfn.TEXTSPLIT(Table1[[#This Row],[Item]], "-"), 7))</f>
        <v>0</v>
      </c>
      <c r="I876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76" s="1" t="str">
        <f>LEFT(RIGHT(Table1[[#This Row],[Item]],6),1)</f>
        <v>N</v>
      </c>
      <c r="K876" s="1" t="str">
        <f t="shared" si="15"/>
        <v>Y</v>
      </c>
      <c r="L876" s="1" t="str">
        <f>RIGHT(Table1[[#This Row],[Item]],2)</f>
        <v>DG</v>
      </c>
      <c r="M876" s="1" t="s">
        <v>33</v>
      </c>
      <c r="N876" s="3" t="s">
        <v>698</v>
      </c>
      <c r="O876" s="1"/>
    </row>
    <row r="877" spans="1:15" ht="15" customHeight="1">
      <c r="A877" t="s">
        <v>898</v>
      </c>
      <c r="B877" s="1" t="str">
        <f>LEFT(Table1[[#This Row],[Item]], FIND("-", Table1[[#This Row],[Item]]) - 1)</f>
        <v>ARB8</v>
      </c>
      <c r="C877" s="1" t="str">
        <f>MID(LEFT(Table1[[#This Row],[Item]], FIND("{token}", SUBSTITUTE(Table1[[#This Row],[Item]], "-", "{token}", 2)) - 1), FIND("-", Table1[[#This Row],[Item]]) + 1, LEN(Table1[[#This Row],[Item]]))</f>
        <v>L</v>
      </c>
      <c r="D87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7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77" s="1" cm="1">
        <f t="array" ref="F877">VALUE(INDEX(_xlfn.TEXTSPLIT(Table1[[#This Row],[Item]], "-"), 5))</f>
        <v>1</v>
      </c>
      <c r="G877" s="1" cm="1">
        <f t="array" ref="G877">VALUE(INDEX(_xlfn.TEXTSPLIT(Table1[[#This Row],[Item]], "-"), 6))</f>
        <v>0</v>
      </c>
      <c r="H877" s="1" cm="1">
        <f t="array" ref="H877">VALUE(INDEX(_xlfn.TEXTSPLIT(Table1[[#This Row],[Item]], "-"), 7))</f>
        <v>0</v>
      </c>
      <c r="I877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77" s="1" t="str">
        <f>LEFT(RIGHT(Table1[[#This Row],[Item]],6),1)</f>
        <v>Y</v>
      </c>
      <c r="K877" s="1" t="str">
        <f t="shared" si="15"/>
        <v>N</v>
      </c>
      <c r="L877" s="1" t="str">
        <f>RIGHT(Table1[[#This Row],[Item]],2)</f>
        <v>DG</v>
      </c>
      <c r="M877" s="1" t="s">
        <v>33</v>
      </c>
      <c r="N877" s="3" t="s">
        <v>693</v>
      </c>
      <c r="O877" s="1"/>
    </row>
    <row r="878" spans="1:15" ht="15" customHeight="1">
      <c r="A878" t="s">
        <v>899</v>
      </c>
      <c r="B878" s="1" t="str">
        <f>LEFT(Table1[[#This Row],[Item]], FIND("-", Table1[[#This Row],[Item]]) - 1)</f>
        <v>ARB8</v>
      </c>
      <c r="C878" s="1" t="str">
        <f>MID(LEFT(Table1[[#This Row],[Item]], FIND("{token}", SUBSTITUTE(Table1[[#This Row],[Item]], "-", "{token}", 2)) - 1), FIND("-", Table1[[#This Row],[Item]]) + 1, LEN(Table1[[#This Row],[Item]]))</f>
        <v>L</v>
      </c>
      <c r="D87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7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78" s="1" cm="1">
        <f t="array" ref="F878">VALUE(INDEX(_xlfn.TEXTSPLIT(Table1[[#This Row],[Item]], "-"), 5))</f>
        <v>1</v>
      </c>
      <c r="G878" s="1" cm="1">
        <f t="array" ref="G878">VALUE(INDEX(_xlfn.TEXTSPLIT(Table1[[#This Row],[Item]], "-"), 6))</f>
        <v>0</v>
      </c>
      <c r="H878" s="1" cm="1">
        <f t="array" ref="H878">VALUE(INDEX(_xlfn.TEXTSPLIT(Table1[[#This Row],[Item]], "-"), 7))</f>
        <v>0</v>
      </c>
      <c r="I878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78" s="1" t="str">
        <f>LEFT(RIGHT(Table1[[#This Row],[Item]],6),1)</f>
        <v>Y</v>
      </c>
      <c r="K878" s="1" t="str">
        <f t="shared" si="15"/>
        <v>Y</v>
      </c>
      <c r="L878" s="1" t="str">
        <f>RIGHT(Table1[[#This Row],[Item]],2)</f>
        <v>DG</v>
      </c>
      <c r="M878" s="1" t="s">
        <v>33</v>
      </c>
      <c r="N878" s="3" t="s">
        <v>695</v>
      </c>
      <c r="O878" s="1"/>
    </row>
    <row r="879" spans="1:15" ht="15" customHeight="1">
      <c r="A879" t="s">
        <v>900</v>
      </c>
      <c r="B879" s="1" t="str">
        <f>LEFT(Table1[[#This Row],[Item]], FIND("-", Table1[[#This Row],[Item]]) - 1)</f>
        <v>ARB8</v>
      </c>
      <c r="C879" s="1" t="str">
        <f>MID(LEFT(Table1[[#This Row],[Item]], FIND("{token}", SUBSTITUTE(Table1[[#This Row],[Item]], "-", "{token}", 2)) - 1), FIND("-", Table1[[#This Row],[Item]]) + 1, LEN(Table1[[#This Row],[Item]]))</f>
        <v>L</v>
      </c>
      <c r="D87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7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79" s="1" cm="1">
        <f t="array" ref="F879">VALUE(INDEX(_xlfn.TEXTSPLIT(Table1[[#This Row],[Item]], "-"), 5))</f>
        <v>1</v>
      </c>
      <c r="G879" s="1" cm="1">
        <f t="array" ref="G879">VALUE(INDEX(_xlfn.TEXTSPLIT(Table1[[#This Row],[Item]], "-"), 6))</f>
        <v>1</v>
      </c>
      <c r="H879" s="1" cm="1">
        <f t="array" ref="H879">VALUE(INDEX(_xlfn.TEXTSPLIT(Table1[[#This Row],[Item]], "-"), 7))</f>
        <v>0</v>
      </c>
      <c r="I879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79" s="1" t="str">
        <f>LEFT(RIGHT(Table1[[#This Row],[Item]],6),1)</f>
        <v>Y</v>
      </c>
      <c r="K879" s="1" t="str">
        <f t="shared" si="15"/>
        <v>N</v>
      </c>
      <c r="L879" s="1" t="str">
        <f>RIGHT(Table1[[#This Row],[Item]],2)</f>
        <v>DG</v>
      </c>
      <c r="M879" s="1" t="s">
        <v>33</v>
      </c>
      <c r="N879" s="3" t="s">
        <v>699</v>
      </c>
      <c r="O879" s="1"/>
    </row>
    <row r="880" spans="1:15" ht="15" customHeight="1">
      <c r="A880" t="s">
        <v>901</v>
      </c>
      <c r="B880" s="1" t="str">
        <f>LEFT(Table1[[#This Row],[Item]], FIND("-", Table1[[#This Row],[Item]]) - 1)</f>
        <v>ARB8</v>
      </c>
      <c r="C880" s="1" t="str">
        <f>MID(LEFT(Table1[[#This Row],[Item]], FIND("{token}", SUBSTITUTE(Table1[[#This Row],[Item]], "-", "{token}", 2)) - 1), FIND("-", Table1[[#This Row],[Item]]) + 1, LEN(Table1[[#This Row],[Item]]))</f>
        <v>L</v>
      </c>
      <c r="D88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8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80" s="1" cm="1">
        <f t="array" ref="F880">VALUE(INDEX(_xlfn.TEXTSPLIT(Table1[[#This Row],[Item]], "-"), 5))</f>
        <v>1</v>
      </c>
      <c r="G880" s="1" cm="1">
        <f t="array" ref="G880">VALUE(INDEX(_xlfn.TEXTSPLIT(Table1[[#This Row],[Item]], "-"), 6))</f>
        <v>1</v>
      </c>
      <c r="H880" s="1" cm="1">
        <f t="array" ref="H880">VALUE(INDEX(_xlfn.TEXTSPLIT(Table1[[#This Row],[Item]], "-"), 7))</f>
        <v>0</v>
      </c>
      <c r="I880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80" s="1" t="str">
        <f>LEFT(RIGHT(Table1[[#This Row],[Item]],6),1)</f>
        <v>Y</v>
      </c>
      <c r="K880" s="1" t="str">
        <f t="shared" si="15"/>
        <v>Y</v>
      </c>
      <c r="L880" s="1" t="str">
        <f>RIGHT(Table1[[#This Row],[Item]],2)</f>
        <v>DG</v>
      </c>
      <c r="M880" s="1" t="s">
        <v>33</v>
      </c>
      <c r="N880" s="3" t="s">
        <v>700</v>
      </c>
      <c r="O880" s="1"/>
    </row>
    <row r="881" spans="1:15" ht="15" customHeight="1">
      <c r="A881" t="s">
        <v>902</v>
      </c>
      <c r="B881" s="1" t="str">
        <f>LEFT(Table1[[#This Row],[Item]], FIND("-", Table1[[#This Row],[Item]]) - 1)</f>
        <v>ARB8</v>
      </c>
      <c r="C881" s="1" t="str">
        <f>MID(LEFT(Table1[[#This Row],[Item]], FIND("{token}", SUBSTITUTE(Table1[[#This Row],[Item]], "-", "{token}", 2)) - 1), FIND("-", Table1[[#This Row],[Item]]) + 1, LEN(Table1[[#This Row],[Item]]))</f>
        <v>LXL</v>
      </c>
      <c r="D88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8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81" s="1" cm="1">
        <f t="array" ref="F881">VALUE(INDEX(_xlfn.TEXTSPLIT(Table1[[#This Row],[Item]], "-"), 5))</f>
        <v>1</v>
      </c>
      <c r="G881" s="1" cm="1">
        <f t="array" ref="G881">VALUE(INDEX(_xlfn.TEXTSPLIT(Table1[[#This Row],[Item]], "-"), 6))</f>
        <v>1</v>
      </c>
      <c r="H881" s="1" cm="1">
        <f t="array" ref="H881">VALUE(INDEX(_xlfn.TEXTSPLIT(Table1[[#This Row],[Item]], "-"), 7))</f>
        <v>0</v>
      </c>
      <c r="I881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81" s="1" t="str">
        <f>LEFT(RIGHT(Table1[[#This Row],[Item]],6),1)</f>
        <v>Y</v>
      </c>
      <c r="K881" s="1" t="str">
        <f t="shared" si="15"/>
        <v>N</v>
      </c>
      <c r="L881" s="1" t="str">
        <f>RIGHT(Table1[[#This Row],[Item]],2)</f>
        <v>DG</v>
      </c>
      <c r="M881" s="1" t="s">
        <v>33</v>
      </c>
      <c r="N881" s="3" t="s">
        <v>701</v>
      </c>
      <c r="O881" s="1"/>
    </row>
    <row r="882" spans="1:15" ht="15" customHeight="1">
      <c r="A882" t="s">
        <v>903</v>
      </c>
      <c r="B882" s="1" t="str">
        <f>LEFT(Table1[[#This Row],[Item]], FIND("-", Table1[[#This Row],[Item]]) - 1)</f>
        <v>MA08</v>
      </c>
      <c r="C882" s="1" t="str">
        <f>MID(LEFT(Table1[[#This Row],[Item]], FIND("{token}", SUBSTITUTE(Table1[[#This Row],[Item]], "-", "{token}", 2)) - 1), FIND("-", Table1[[#This Row],[Item]]) + 1, LEN(Table1[[#This Row],[Item]]))</f>
        <v>C</v>
      </c>
      <c r="D88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8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82" s="1" cm="1">
        <f t="array" ref="F882">VALUE(INDEX(_xlfn.TEXTSPLIT(Table1[[#This Row],[Item]], "-"), 5))</f>
        <v>0</v>
      </c>
      <c r="G882" s="1" cm="1">
        <f t="array" ref="G882">VALUE(INDEX(_xlfn.TEXTSPLIT(Table1[[#This Row],[Item]], "-"), 6))</f>
        <v>0</v>
      </c>
      <c r="H882" s="1" cm="1">
        <f t="array" ref="H882">VALUE(INDEX(_xlfn.TEXTSPLIT(Table1[[#This Row],[Item]], "-"), 7))</f>
        <v>0</v>
      </c>
      <c r="I882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82" s="1" t="str">
        <f>LEFT(RIGHT(Table1[[#This Row],[Item]],6),1)</f>
        <v>Y</v>
      </c>
      <c r="K882" s="1" t="str">
        <f t="shared" si="15"/>
        <v>Y</v>
      </c>
      <c r="L882" s="1" t="str">
        <f>RIGHT(Table1[[#This Row],[Item]],2)</f>
        <v>DG</v>
      </c>
      <c r="M882" s="1" t="s">
        <v>33</v>
      </c>
      <c r="N882" s="3" t="s">
        <v>820</v>
      </c>
      <c r="O882" s="1"/>
    </row>
    <row r="883" spans="1:15" ht="15" customHeight="1">
      <c r="A883" t="s">
        <v>904</v>
      </c>
      <c r="B883" s="1" t="str">
        <f>LEFT(Table1[[#This Row],[Item]], FIND("-", Table1[[#This Row],[Item]]) - 1)</f>
        <v>MA08</v>
      </c>
      <c r="C883" s="1" t="str">
        <f>MID(LEFT(Table1[[#This Row],[Item]], FIND("{token}", SUBSTITUTE(Table1[[#This Row],[Item]], "-", "{token}", 2)) - 1), FIND("-", Table1[[#This Row],[Item]]) + 1, LEN(Table1[[#This Row],[Item]]))</f>
        <v>N</v>
      </c>
      <c r="D88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8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83" s="1" cm="1">
        <f t="array" ref="F883">VALUE(INDEX(_xlfn.TEXTSPLIT(Table1[[#This Row],[Item]], "-"), 5))</f>
        <v>1</v>
      </c>
      <c r="G883" s="1" cm="1">
        <f t="array" ref="G883">VALUE(INDEX(_xlfn.TEXTSPLIT(Table1[[#This Row],[Item]], "-"), 6))</f>
        <v>0</v>
      </c>
      <c r="H883" s="1" cm="1">
        <f t="array" ref="H883">VALUE(INDEX(_xlfn.TEXTSPLIT(Table1[[#This Row],[Item]], "-"), 7))</f>
        <v>0</v>
      </c>
      <c r="I883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83" s="1" t="str">
        <f>LEFT(RIGHT(Table1[[#This Row],[Item]],6),1)</f>
        <v>Y</v>
      </c>
      <c r="K883" s="1" t="str">
        <f t="shared" si="15"/>
        <v>Y</v>
      </c>
      <c r="L883" s="1" t="str">
        <f>RIGHT(Table1[[#This Row],[Item]],2)</f>
        <v>DG</v>
      </c>
      <c r="M883" s="1" t="s">
        <v>33</v>
      </c>
      <c r="N883" s="3" t="s">
        <v>821</v>
      </c>
      <c r="O883" s="1"/>
    </row>
    <row r="884" spans="1:15" ht="15" customHeight="1">
      <c r="A884" t="s">
        <v>905</v>
      </c>
      <c r="B884" s="1" t="str">
        <f>LEFT(Table1[[#This Row],[Item]], FIND("-", Table1[[#This Row],[Item]]) - 1)</f>
        <v>MA10</v>
      </c>
      <c r="C884" s="1" t="str">
        <f>MID(LEFT(Table1[[#This Row],[Item]], FIND("{token}", SUBSTITUTE(Table1[[#This Row],[Item]], "-", "{token}", 2)) - 1), FIND("-", Table1[[#This Row],[Item]]) + 1, LEN(Table1[[#This Row],[Item]]))</f>
        <v>N</v>
      </c>
      <c r="D88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8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84" s="1" cm="1">
        <f t="array" ref="F884">VALUE(INDEX(_xlfn.TEXTSPLIT(Table1[[#This Row],[Item]], "-"), 5))</f>
        <v>2</v>
      </c>
      <c r="G884" s="1" cm="1">
        <f t="array" ref="G884">VALUE(INDEX(_xlfn.TEXTSPLIT(Table1[[#This Row],[Item]], "-"), 6))</f>
        <v>0</v>
      </c>
      <c r="H884" s="1" cm="1">
        <f t="array" ref="H884">VALUE(INDEX(_xlfn.TEXTSPLIT(Table1[[#This Row],[Item]], "-"), 7))</f>
        <v>0</v>
      </c>
      <c r="I884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84" s="1" t="str">
        <f>LEFT(RIGHT(Table1[[#This Row],[Item]],6),1)</f>
        <v>N</v>
      </c>
      <c r="K884" s="1" t="str">
        <f t="shared" si="15"/>
        <v>Y</v>
      </c>
      <c r="L884" s="1" t="str">
        <f>RIGHT(Table1[[#This Row],[Item]],2)</f>
        <v>DG</v>
      </c>
      <c r="M884" s="1" t="s">
        <v>33</v>
      </c>
      <c r="N884" s="3" t="s">
        <v>822</v>
      </c>
      <c r="O884" s="1"/>
    </row>
    <row r="885" spans="1:15" ht="15" customHeight="1">
      <c r="A885" t="s">
        <v>906</v>
      </c>
      <c r="B885" s="1" t="str">
        <f>LEFT(Table1[[#This Row],[Item]], FIND("-", Table1[[#This Row],[Item]]) - 1)</f>
        <v>MA10</v>
      </c>
      <c r="C885" s="1" t="str">
        <f>MID(LEFT(Table1[[#This Row],[Item]], FIND("{token}", SUBSTITUTE(Table1[[#This Row],[Item]], "-", "{token}", 2)) - 1), FIND("-", Table1[[#This Row],[Item]]) + 1, LEN(Table1[[#This Row],[Item]]))</f>
        <v>N</v>
      </c>
      <c r="D88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8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85" s="1" cm="1">
        <f t="array" ref="F885">VALUE(INDEX(_xlfn.TEXTSPLIT(Table1[[#This Row],[Item]], "-"), 5))</f>
        <v>2</v>
      </c>
      <c r="G885" s="1" cm="1">
        <f t="array" ref="G885">VALUE(INDEX(_xlfn.TEXTSPLIT(Table1[[#This Row],[Item]], "-"), 6))</f>
        <v>0</v>
      </c>
      <c r="H885" s="1" cm="1">
        <f t="array" ref="H885">VALUE(INDEX(_xlfn.TEXTSPLIT(Table1[[#This Row],[Item]], "-"), 7))</f>
        <v>0</v>
      </c>
      <c r="I885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85" s="1" t="str">
        <f>LEFT(RIGHT(Table1[[#This Row],[Item]],6),1)</f>
        <v>Y</v>
      </c>
      <c r="K885" s="1" t="str">
        <f t="shared" si="15"/>
        <v>Y</v>
      </c>
      <c r="L885" s="1" t="str">
        <f>RIGHT(Table1[[#This Row],[Item]],2)</f>
        <v>DG</v>
      </c>
      <c r="M885" s="1" t="s">
        <v>33</v>
      </c>
      <c r="N885" s="3" t="s">
        <v>823</v>
      </c>
      <c r="O885" s="1"/>
    </row>
    <row r="886" spans="1:15" ht="15" customHeight="1">
      <c r="A886" t="s">
        <v>907</v>
      </c>
      <c r="B886" s="1" t="str">
        <f>LEFT(Table1[[#This Row],[Item]], FIND("-", Table1[[#This Row],[Item]]) - 1)</f>
        <v>MA12</v>
      </c>
      <c r="C886" s="1" t="str">
        <f>MID(LEFT(Table1[[#This Row],[Item]], FIND("{token}", SUBSTITUTE(Table1[[#This Row],[Item]], "-", "{token}", 2)) - 1), FIND("-", Table1[[#This Row],[Item]]) + 1, LEN(Table1[[#This Row],[Item]]))</f>
        <v>C</v>
      </c>
      <c r="D88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8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86" s="1" cm="1">
        <f t="array" ref="F886">VALUE(INDEX(_xlfn.TEXTSPLIT(Table1[[#This Row],[Item]], "-"), 5))</f>
        <v>2</v>
      </c>
      <c r="G886" s="1" cm="1">
        <f t="array" ref="G886">VALUE(INDEX(_xlfn.TEXTSPLIT(Table1[[#This Row],[Item]], "-"), 6))</f>
        <v>0</v>
      </c>
      <c r="H886" s="1" cm="1">
        <f t="array" ref="H886">VALUE(INDEX(_xlfn.TEXTSPLIT(Table1[[#This Row],[Item]], "-"), 7))</f>
        <v>0</v>
      </c>
      <c r="I886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86" s="1" t="str">
        <f>LEFT(RIGHT(Table1[[#This Row],[Item]],6),1)</f>
        <v>Y</v>
      </c>
      <c r="K886" s="1" t="str">
        <f t="shared" si="15"/>
        <v>Y</v>
      </c>
      <c r="L886" s="1" t="str">
        <f>RIGHT(Table1[[#This Row],[Item]],2)</f>
        <v>DG</v>
      </c>
      <c r="M886" s="1" t="s">
        <v>33</v>
      </c>
      <c r="N886" s="3" t="s">
        <v>824</v>
      </c>
      <c r="O886" s="1"/>
    </row>
    <row r="887" spans="1:15" ht="15" customHeight="1">
      <c r="A887" t="s">
        <v>908</v>
      </c>
      <c r="B887" s="1" t="str">
        <f>LEFT(Table1[[#This Row],[Item]], FIND("-", Table1[[#This Row],[Item]]) - 1)</f>
        <v>MA12</v>
      </c>
      <c r="C887" s="1" t="str">
        <f>MID(LEFT(Table1[[#This Row],[Item]], FIND("{token}", SUBSTITUTE(Table1[[#This Row],[Item]], "-", "{token}", 2)) - 1), FIND("-", Table1[[#This Row],[Item]]) + 1, LEN(Table1[[#This Row],[Item]]))</f>
        <v>D</v>
      </c>
      <c r="D88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88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887" s="1" cm="1">
        <f t="array" ref="F887">VALUE(INDEX(_xlfn.TEXTSPLIT(Table1[[#This Row],[Item]], "-"), 5))</f>
        <v>0</v>
      </c>
      <c r="G887" s="1" cm="1">
        <f t="array" ref="G887">VALUE(INDEX(_xlfn.TEXTSPLIT(Table1[[#This Row],[Item]], "-"), 6))</f>
        <v>1</v>
      </c>
      <c r="H887" s="1" cm="1">
        <f t="array" ref="H887">VALUE(INDEX(_xlfn.TEXTSPLIT(Table1[[#This Row],[Item]], "-"), 7))</f>
        <v>0</v>
      </c>
      <c r="I887" s="1" t="str">
        <f>MID(LEFT(Table1[[#This Row],[Item]], FIND("{token}", SUBSTITUTE(Table1[[#This Row],[Item]], "-", "{token}", 8)) - 1), FIND("{token}", SUBSTITUTE(Table1[[#This Row],[Item]], "-", "{token}", 7)) + 1, LEN(Table1[[#This Row],[Item]]))</f>
        <v>LSPO</v>
      </c>
      <c r="J887" s="1" t="str">
        <f>LEFT(RIGHT(Table1[[#This Row],[Item]],6),1)</f>
        <v>Y</v>
      </c>
      <c r="K887" s="1" t="str">
        <f t="shared" si="15"/>
        <v>Y</v>
      </c>
      <c r="L887" s="1" t="str">
        <f>RIGHT(Table1[[#This Row],[Item]],2)</f>
        <v>DG</v>
      </c>
      <c r="M887" s="1" t="s">
        <v>33</v>
      </c>
      <c r="N887" s="3" t="s">
        <v>825</v>
      </c>
      <c r="O887" s="1"/>
    </row>
    <row r="888" spans="1:15" ht="15" customHeight="1">
      <c r="A888" t="s">
        <v>909</v>
      </c>
      <c r="B888" s="1" t="str">
        <f>LEFT(Table1[[#This Row],[Item]], FIND("-", Table1[[#This Row],[Item]]) - 1)</f>
        <v>MA12</v>
      </c>
      <c r="C888" s="1" t="str">
        <f>MID(LEFT(Table1[[#This Row],[Item]], FIND("{token}", SUBSTITUTE(Table1[[#This Row],[Item]], "-", "{token}", 2)) - 1), FIND("-", Table1[[#This Row],[Item]]) + 1, LEN(Table1[[#This Row],[Item]]))</f>
        <v>D</v>
      </c>
      <c r="D88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88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888" s="1" cm="1">
        <f t="array" ref="F888">VALUE(INDEX(_xlfn.TEXTSPLIT(Table1[[#This Row],[Item]], "-"), 5))</f>
        <v>0</v>
      </c>
      <c r="G888" s="1" cm="1">
        <f t="array" ref="G888">VALUE(INDEX(_xlfn.TEXTSPLIT(Table1[[#This Row],[Item]], "-"), 6))</f>
        <v>2</v>
      </c>
      <c r="H888" s="1" cm="1">
        <f t="array" ref="H888">VALUE(INDEX(_xlfn.TEXTSPLIT(Table1[[#This Row],[Item]], "-"), 7))</f>
        <v>0</v>
      </c>
      <c r="I888" s="1" t="str">
        <f>MID(LEFT(Table1[[#This Row],[Item]], FIND("{token}", SUBSTITUTE(Table1[[#This Row],[Item]], "-", "{token}", 8)) - 1), FIND("{token}", SUBSTITUTE(Table1[[#This Row],[Item]], "-", "{token}", 7)) + 1, LEN(Table1[[#This Row],[Item]]))</f>
        <v>LSPO</v>
      </c>
      <c r="J888" s="1" t="str">
        <f>LEFT(RIGHT(Table1[[#This Row],[Item]],6),1)</f>
        <v>Y</v>
      </c>
      <c r="K888" s="1" t="str">
        <f t="shared" si="15"/>
        <v>Y</v>
      </c>
      <c r="L888" s="1" t="str">
        <f>RIGHT(Table1[[#This Row],[Item]],2)</f>
        <v>DG</v>
      </c>
      <c r="M888" s="1" t="s">
        <v>33</v>
      </c>
      <c r="N888" s="3" t="s">
        <v>826</v>
      </c>
      <c r="O888" s="1"/>
    </row>
    <row r="889" spans="1:15" ht="15" customHeight="1">
      <c r="A889" t="s">
        <v>910</v>
      </c>
      <c r="B889" s="1" t="str">
        <f>LEFT(Table1[[#This Row],[Item]], FIND("-", Table1[[#This Row],[Item]]) - 1)</f>
        <v>MA12</v>
      </c>
      <c r="C889" s="1" t="str">
        <f>MID(LEFT(Table1[[#This Row],[Item]], FIND("{token}", SUBSTITUTE(Table1[[#This Row],[Item]], "-", "{token}", 2)) - 1), FIND("-", Table1[[#This Row],[Item]]) + 1, LEN(Table1[[#This Row],[Item]]))</f>
        <v>D</v>
      </c>
      <c r="D88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8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889" s="1" cm="1">
        <f t="array" ref="F889">VALUE(INDEX(_xlfn.TEXTSPLIT(Table1[[#This Row],[Item]], "-"), 5))</f>
        <v>0</v>
      </c>
      <c r="G889" s="1" cm="1">
        <f t="array" ref="G889">VALUE(INDEX(_xlfn.TEXTSPLIT(Table1[[#This Row],[Item]], "-"), 6))</f>
        <v>1</v>
      </c>
      <c r="H889" s="1" cm="1">
        <f t="array" ref="H889">VALUE(INDEX(_xlfn.TEXTSPLIT(Table1[[#This Row],[Item]], "-"), 7))</f>
        <v>0</v>
      </c>
      <c r="I889" s="1" t="str">
        <f>MID(LEFT(Table1[[#This Row],[Item]], FIND("{token}", SUBSTITUTE(Table1[[#This Row],[Item]], "-", "{token}", 8)) - 1), FIND("{token}", SUBSTITUTE(Table1[[#This Row],[Item]], "-", "{token}", 7)) + 1, LEN(Table1[[#This Row],[Item]]))</f>
        <v>LSPO</v>
      </c>
      <c r="J889" s="1" t="str">
        <f>LEFT(RIGHT(Table1[[#This Row],[Item]],6),1)</f>
        <v>Y</v>
      </c>
      <c r="K889" s="1" t="str">
        <f t="shared" si="15"/>
        <v>Y</v>
      </c>
      <c r="L889" s="1" t="str">
        <f>RIGHT(Table1[[#This Row],[Item]],2)</f>
        <v>DG</v>
      </c>
      <c r="M889" s="1" t="s">
        <v>33</v>
      </c>
      <c r="N889" s="3" t="s">
        <v>827</v>
      </c>
      <c r="O889" s="1"/>
    </row>
    <row r="890" spans="1:15" ht="15" customHeight="1">
      <c r="A890" t="s">
        <v>911</v>
      </c>
      <c r="B890" s="1" t="str">
        <f>LEFT(Table1[[#This Row],[Item]], FIND("-", Table1[[#This Row],[Item]]) - 1)</f>
        <v>MA12</v>
      </c>
      <c r="C890" s="1" t="str">
        <f>MID(LEFT(Table1[[#This Row],[Item]], FIND("{token}", SUBSTITUTE(Table1[[#This Row],[Item]], "-", "{token}", 2)) - 1), FIND("-", Table1[[#This Row],[Item]]) + 1, LEN(Table1[[#This Row],[Item]]))</f>
        <v>DXL</v>
      </c>
      <c r="D89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9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890" s="1" cm="1">
        <f t="array" ref="F890">VALUE(INDEX(_xlfn.TEXTSPLIT(Table1[[#This Row],[Item]], "-"), 5))</f>
        <v>0</v>
      </c>
      <c r="G890" s="1" cm="1">
        <f t="array" ref="G890">VALUE(INDEX(_xlfn.TEXTSPLIT(Table1[[#This Row],[Item]], "-"), 6))</f>
        <v>1</v>
      </c>
      <c r="H890" s="1" cm="1">
        <f t="array" ref="H890">VALUE(INDEX(_xlfn.TEXTSPLIT(Table1[[#This Row],[Item]], "-"), 7))</f>
        <v>0</v>
      </c>
      <c r="I890" s="1" t="str">
        <f>MID(LEFT(Table1[[#This Row],[Item]], FIND("{token}", SUBSTITUTE(Table1[[#This Row],[Item]], "-", "{token}", 8)) - 1), FIND("{token}", SUBSTITUTE(Table1[[#This Row],[Item]], "-", "{token}", 7)) + 1, LEN(Table1[[#This Row],[Item]]))</f>
        <v>LSPO</v>
      </c>
      <c r="J890" s="1" t="str">
        <f>LEFT(RIGHT(Table1[[#This Row],[Item]],6),1)</f>
        <v>Y</v>
      </c>
      <c r="K890" s="1" t="str">
        <f t="shared" si="15"/>
        <v>Y</v>
      </c>
      <c r="L890" s="1" t="str">
        <f>RIGHT(Table1[[#This Row],[Item]],2)</f>
        <v>DG</v>
      </c>
      <c r="M890" s="1" t="s">
        <v>33</v>
      </c>
      <c r="N890" s="3" t="s">
        <v>828</v>
      </c>
      <c r="O890" s="1"/>
    </row>
    <row r="891" spans="1:15" ht="15" customHeight="1">
      <c r="A891" t="s">
        <v>912</v>
      </c>
      <c r="B891" s="1" t="str">
        <f>LEFT(Table1[[#This Row],[Item]], FIND("-", Table1[[#This Row],[Item]]) - 1)</f>
        <v>MA14</v>
      </c>
      <c r="C891" s="1" t="str">
        <f>MID(LEFT(Table1[[#This Row],[Item]], FIND("{token}", SUBSTITUTE(Table1[[#This Row],[Item]], "-", "{token}", 2)) - 1), FIND("-", Table1[[#This Row],[Item]]) + 1, LEN(Table1[[#This Row],[Item]]))</f>
        <v>C</v>
      </c>
      <c r="D89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9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91" s="1" cm="1">
        <f t="array" ref="F891">VALUE(INDEX(_xlfn.TEXTSPLIT(Table1[[#This Row],[Item]], "-"), 5))</f>
        <v>2</v>
      </c>
      <c r="G891" s="1" cm="1">
        <f t="array" ref="G891">VALUE(INDEX(_xlfn.TEXTSPLIT(Table1[[#This Row],[Item]], "-"), 6))</f>
        <v>0</v>
      </c>
      <c r="H891" s="1" cm="1">
        <f t="array" ref="H891">VALUE(INDEX(_xlfn.TEXTSPLIT(Table1[[#This Row],[Item]], "-"), 7))</f>
        <v>0</v>
      </c>
      <c r="I891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91" s="1" t="str">
        <f>LEFT(RIGHT(Table1[[#This Row],[Item]],6),1)</f>
        <v>Y</v>
      </c>
      <c r="K891" s="1" t="str">
        <f t="shared" si="15"/>
        <v>Y</v>
      </c>
      <c r="L891" s="1" t="str">
        <f>RIGHT(Table1[[#This Row],[Item]],2)</f>
        <v>DG</v>
      </c>
      <c r="M891" s="1" t="s">
        <v>33</v>
      </c>
      <c r="N891" s="3" t="s">
        <v>829</v>
      </c>
      <c r="O891" s="1"/>
    </row>
    <row r="892" spans="1:15" ht="15" customHeight="1">
      <c r="A892" t="s">
        <v>913</v>
      </c>
      <c r="B892" s="1" t="str">
        <f>LEFT(Table1[[#This Row],[Item]], FIND("-", Table1[[#This Row],[Item]]) - 1)</f>
        <v>MA14</v>
      </c>
      <c r="C892" s="1" t="str">
        <f>MID(LEFT(Table1[[#This Row],[Item]], FIND("{token}", SUBSTITUTE(Table1[[#This Row],[Item]], "-", "{token}", 2)) - 1), FIND("-", Table1[[#This Row],[Item]]) + 1, LEN(Table1[[#This Row],[Item]]))</f>
        <v>D</v>
      </c>
      <c r="D892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89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892" s="1" cm="1">
        <f t="array" ref="F892">VALUE(INDEX(_xlfn.TEXTSPLIT(Table1[[#This Row],[Item]], "-"), 5))</f>
        <v>0</v>
      </c>
      <c r="G892" s="1" cm="1">
        <f t="array" ref="G892">VALUE(INDEX(_xlfn.TEXTSPLIT(Table1[[#This Row],[Item]], "-"), 6))</f>
        <v>2</v>
      </c>
      <c r="H892" s="1" cm="1">
        <f t="array" ref="H892">VALUE(INDEX(_xlfn.TEXTSPLIT(Table1[[#This Row],[Item]], "-"), 7))</f>
        <v>0</v>
      </c>
      <c r="I892" s="1" t="str">
        <f>MID(LEFT(Table1[[#This Row],[Item]], FIND("{token}", SUBSTITUTE(Table1[[#This Row],[Item]], "-", "{token}", 8)) - 1), FIND("{token}", SUBSTITUTE(Table1[[#This Row],[Item]], "-", "{token}", 7)) + 1, LEN(Table1[[#This Row],[Item]]))</f>
        <v>LSPO</v>
      </c>
      <c r="J892" s="1" t="str">
        <f>LEFT(RIGHT(Table1[[#This Row],[Item]],6),1)</f>
        <v>Y</v>
      </c>
      <c r="K892" s="1" t="str">
        <f t="shared" si="15"/>
        <v>Y</v>
      </c>
      <c r="L892" s="1" t="str">
        <f>RIGHT(Table1[[#This Row],[Item]],2)</f>
        <v>DG</v>
      </c>
      <c r="M892" s="1" t="s">
        <v>33</v>
      </c>
      <c r="N892" s="3" t="s">
        <v>830</v>
      </c>
      <c r="O892" s="1"/>
    </row>
    <row r="893" spans="1:15" ht="15" customHeight="1">
      <c r="A893" t="s">
        <v>914</v>
      </c>
      <c r="B893" s="1" t="str">
        <f>LEFT(Table1[[#This Row],[Item]], FIND("-", Table1[[#This Row],[Item]]) - 1)</f>
        <v>MA14</v>
      </c>
      <c r="C893" s="1" t="str">
        <f>MID(LEFT(Table1[[#This Row],[Item]], FIND("{token}", SUBSTITUTE(Table1[[#This Row],[Item]], "-", "{token}", 2)) - 1), FIND("-", Table1[[#This Row],[Item]]) + 1, LEN(Table1[[#This Row],[Item]]))</f>
        <v>D</v>
      </c>
      <c r="D89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89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893" s="1" cm="1">
        <f t="array" ref="F893">VALUE(INDEX(_xlfn.TEXTSPLIT(Table1[[#This Row],[Item]], "-"), 5))</f>
        <v>0</v>
      </c>
      <c r="G893" s="1" cm="1">
        <f t="array" ref="G893">VALUE(INDEX(_xlfn.TEXTSPLIT(Table1[[#This Row],[Item]], "-"), 6))</f>
        <v>2</v>
      </c>
      <c r="H893" s="1" cm="1">
        <f t="array" ref="H893">VALUE(INDEX(_xlfn.TEXTSPLIT(Table1[[#This Row],[Item]], "-"), 7))</f>
        <v>0</v>
      </c>
      <c r="I893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93" s="1" t="str">
        <f>LEFT(RIGHT(Table1[[#This Row],[Item]],6),1)</f>
        <v>Y</v>
      </c>
      <c r="K893" s="1" t="str">
        <f t="shared" si="15"/>
        <v>Y</v>
      </c>
      <c r="L893" s="1" t="str">
        <f>RIGHT(Table1[[#This Row],[Item]],2)</f>
        <v>DG</v>
      </c>
      <c r="M893" s="1" t="s">
        <v>33</v>
      </c>
      <c r="N893" s="3" t="s">
        <v>831</v>
      </c>
      <c r="O893" s="1"/>
    </row>
    <row r="894" spans="1:15" ht="15" customHeight="1">
      <c r="A894" t="s">
        <v>915</v>
      </c>
      <c r="B894" s="1" t="str">
        <f>LEFT(Table1[[#This Row],[Item]], FIND("-", Table1[[#This Row],[Item]]) - 1)</f>
        <v>MA14</v>
      </c>
      <c r="C894" s="1" t="str">
        <f>MID(LEFT(Table1[[#This Row],[Item]], FIND("{token}", SUBSTITUTE(Table1[[#This Row],[Item]], "-", "{token}", 2)) - 1), FIND("-", Table1[[#This Row],[Item]]) + 1, LEN(Table1[[#This Row],[Item]]))</f>
        <v>DXL</v>
      </c>
      <c r="D89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9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894" s="1" cm="1">
        <f t="array" ref="F894">VALUE(INDEX(_xlfn.TEXTSPLIT(Table1[[#This Row],[Item]], "-"), 5))</f>
        <v>0</v>
      </c>
      <c r="G894" s="1" cm="1">
        <f t="array" ref="G894">VALUE(INDEX(_xlfn.TEXTSPLIT(Table1[[#This Row],[Item]], "-"), 6))</f>
        <v>2</v>
      </c>
      <c r="H894" s="1" cm="1">
        <f t="array" ref="H894">VALUE(INDEX(_xlfn.TEXTSPLIT(Table1[[#This Row],[Item]], "-"), 7))</f>
        <v>0</v>
      </c>
      <c r="I894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94" s="1" t="str">
        <f>LEFT(RIGHT(Table1[[#This Row],[Item]],6),1)</f>
        <v>Y</v>
      </c>
      <c r="K894" s="1" t="str">
        <f t="shared" si="15"/>
        <v>Y</v>
      </c>
      <c r="L894" s="1" t="str">
        <f>RIGHT(Table1[[#This Row],[Item]],2)</f>
        <v>DG</v>
      </c>
      <c r="M894" s="1" t="s">
        <v>33</v>
      </c>
      <c r="N894" s="3" t="s">
        <v>832</v>
      </c>
      <c r="O894" s="1"/>
    </row>
    <row r="895" spans="1:15" ht="15" customHeight="1">
      <c r="A895" t="s">
        <v>916</v>
      </c>
      <c r="B895" s="1" t="str">
        <f>LEFT(Table1[[#This Row],[Item]], FIND("-", Table1[[#This Row],[Item]]) - 1)</f>
        <v>STC8</v>
      </c>
      <c r="C895" s="1" t="str">
        <f>MID(LEFT(Table1[[#This Row],[Item]], FIND("{token}", SUBSTITUTE(Table1[[#This Row],[Item]], "-", "{token}", 2)) - 1), FIND("-", Table1[[#This Row],[Item]]) + 1, LEN(Table1[[#This Row],[Item]]))</f>
        <v>N</v>
      </c>
      <c r="D89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9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95" s="1" cm="1">
        <f t="array" ref="F895">VALUE(INDEX(_xlfn.TEXTSPLIT(Table1[[#This Row],[Item]], "-"), 5))</f>
        <v>1</v>
      </c>
      <c r="G895" s="1" cm="1">
        <f t="array" ref="G895">VALUE(INDEX(_xlfn.TEXTSPLIT(Table1[[#This Row],[Item]], "-"), 6))</f>
        <v>0</v>
      </c>
      <c r="H895" s="1" cm="1">
        <f t="array" ref="H895">VALUE(INDEX(_xlfn.TEXTSPLIT(Table1[[#This Row],[Item]], "-"), 7))</f>
        <v>0</v>
      </c>
      <c r="I895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95" s="1" t="str">
        <f>LEFT(RIGHT(Table1[[#This Row],[Item]],6),1)</f>
        <v>N</v>
      </c>
      <c r="K895" s="1" t="str">
        <f t="shared" si="15"/>
        <v>Y</v>
      </c>
      <c r="L895" s="1" t="str">
        <f>RIGHT(Table1[[#This Row],[Item]],2)</f>
        <v>DG</v>
      </c>
      <c r="M895" s="1" t="s">
        <v>33</v>
      </c>
      <c r="N895" s="3" t="s">
        <v>833</v>
      </c>
      <c r="O895" s="1"/>
    </row>
    <row r="896" spans="1:15" ht="15" customHeight="1">
      <c r="A896" t="s">
        <v>917</v>
      </c>
      <c r="B896" s="1" t="str">
        <f>LEFT(Table1[[#This Row],[Item]], FIND("-", Table1[[#This Row],[Item]]) - 1)</f>
        <v>STC8</v>
      </c>
      <c r="C896" s="1" t="str">
        <f>MID(LEFT(Table1[[#This Row],[Item]], FIND("{token}", SUBSTITUTE(Table1[[#This Row],[Item]], "-", "{token}", 2)) - 1), FIND("-", Table1[[#This Row],[Item]]) + 1, LEN(Table1[[#This Row],[Item]]))</f>
        <v>N</v>
      </c>
      <c r="D89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9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96" s="1" cm="1">
        <f t="array" ref="F896">VALUE(INDEX(_xlfn.TEXTSPLIT(Table1[[#This Row],[Item]], "-"), 5))</f>
        <v>1</v>
      </c>
      <c r="G896" s="1" cm="1">
        <f t="array" ref="G896">VALUE(INDEX(_xlfn.TEXTSPLIT(Table1[[#This Row],[Item]], "-"), 6))</f>
        <v>0</v>
      </c>
      <c r="H896" s="1" cm="1">
        <f t="array" ref="H896">VALUE(INDEX(_xlfn.TEXTSPLIT(Table1[[#This Row],[Item]], "-"), 7))</f>
        <v>0</v>
      </c>
      <c r="I896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96" s="1" t="str">
        <f>LEFT(RIGHT(Table1[[#This Row],[Item]],6),1)</f>
        <v>Y</v>
      </c>
      <c r="K896" s="1" t="str">
        <f t="shared" si="15"/>
        <v>Y</v>
      </c>
      <c r="L896" s="1" t="str">
        <f>RIGHT(Table1[[#This Row],[Item]],2)</f>
        <v>DG</v>
      </c>
      <c r="M896" s="1" t="s">
        <v>33</v>
      </c>
      <c r="N896" s="3" t="s">
        <v>834</v>
      </c>
      <c r="O896" s="1"/>
    </row>
    <row r="897" spans="1:15" ht="15" customHeight="1">
      <c r="A897" t="s">
        <v>918</v>
      </c>
      <c r="B897" s="1" t="str">
        <f>LEFT(Table1[[#This Row],[Item]], FIND("-", Table1[[#This Row],[Item]]) - 1)</f>
        <v>STC9</v>
      </c>
      <c r="C897" s="1" t="str">
        <f>MID(LEFT(Table1[[#This Row],[Item]], FIND("{token}", SUBSTITUTE(Table1[[#This Row],[Item]], "-", "{token}", 2)) - 1), FIND("-", Table1[[#This Row],[Item]]) + 1, LEN(Table1[[#This Row],[Item]]))</f>
        <v>C</v>
      </c>
      <c r="D89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9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97" s="1" cm="1">
        <f t="array" ref="F897">VALUE(INDEX(_xlfn.TEXTSPLIT(Table1[[#This Row],[Item]], "-"), 5))</f>
        <v>0</v>
      </c>
      <c r="G897" s="1" cm="1">
        <f t="array" ref="G897">VALUE(INDEX(_xlfn.TEXTSPLIT(Table1[[#This Row],[Item]], "-"), 6))</f>
        <v>0</v>
      </c>
      <c r="H897" s="1" cm="1">
        <f t="array" ref="H897">VALUE(INDEX(_xlfn.TEXTSPLIT(Table1[[#This Row],[Item]], "-"), 7))</f>
        <v>0</v>
      </c>
      <c r="I897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97" s="1" t="str">
        <f>LEFT(RIGHT(Table1[[#This Row],[Item]],6),1)</f>
        <v>Y</v>
      </c>
      <c r="K897" s="1" t="str">
        <f t="shared" si="15"/>
        <v>Y</v>
      </c>
      <c r="L897" s="1" t="str">
        <f>RIGHT(Table1[[#This Row],[Item]],2)</f>
        <v>DG</v>
      </c>
      <c r="M897" s="1" t="s">
        <v>33</v>
      </c>
      <c r="N897" s="3" t="s">
        <v>835</v>
      </c>
      <c r="O897" s="1"/>
    </row>
    <row r="898" spans="1:15" ht="15" customHeight="1">
      <c r="A898" t="s">
        <v>919</v>
      </c>
      <c r="B898" s="1" t="str">
        <f>LEFT(Table1[[#This Row],[Item]], FIND("-", Table1[[#This Row],[Item]]) - 1)</f>
        <v>STC9</v>
      </c>
      <c r="C898" s="1" t="str">
        <f>MID(LEFT(Table1[[#This Row],[Item]], FIND("{token}", SUBSTITUTE(Table1[[#This Row],[Item]], "-", "{token}", 2)) - 1), FIND("-", Table1[[#This Row],[Item]]) + 1, LEN(Table1[[#This Row],[Item]]))</f>
        <v>N</v>
      </c>
      <c r="D89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9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898" s="1" cm="1">
        <f t="array" ref="F898">VALUE(INDEX(_xlfn.TEXTSPLIT(Table1[[#This Row],[Item]], "-"), 5))</f>
        <v>2</v>
      </c>
      <c r="G898" s="1" cm="1">
        <f t="array" ref="G898">VALUE(INDEX(_xlfn.TEXTSPLIT(Table1[[#This Row],[Item]], "-"), 6))</f>
        <v>0</v>
      </c>
      <c r="H898" s="1" cm="1">
        <f t="array" ref="H898">VALUE(INDEX(_xlfn.TEXTSPLIT(Table1[[#This Row],[Item]], "-"), 7))</f>
        <v>0</v>
      </c>
      <c r="I898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98" s="1" t="str">
        <f>LEFT(RIGHT(Table1[[#This Row],[Item]],6),1)</f>
        <v>Y</v>
      </c>
      <c r="K898" s="1" t="str">
        <f t="shared" si="15"/>
        <v>Y</v>
      </c>
      <c r="L898" s="1" t="str">
        <f>RIGHT(Table1[[#This Row],[Item]],2)</f>
        <v>DG</v>
      </c>
      <c r="M898" s="1" t="s">
        <v>33</v>
      </c>
      <c r="N898" s="3" t="s">
        <v>836</v>
      </c>
      <c r="O898" s="1"/>
    </row>
    <row r="899" spans="1:15" ht="15" customHeight="1">
      <c r="A899" t="s">
        <v>920</v>
      </c>
      <c r="B899" s="1" t="str">
        <f>LEFT(Table1[[#This Row],[Item]], FIND("-", Table1[[#This Row],[Item]]) - 1)</f>
        <v>STT7</v>
      </c>
      <c r="C899" s="1" t="str">
        <f>MID(LEFT(Table1[[#This Row],[Item]], FIND("{token}", SUBSTITUTE(Table1[[#This Row],[Item]], "-", "{token}", 2)) - 1), FIND("-", Table1[[#This Row],[Item]]) + 1, LEN(Table1[[#This Row],[Item]]))</f>
        <v>N</v>
      </c>
      <c r="D89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89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899" s="1" cm="1">
        <f t="array" ref="F899">VALUE(INDEX(_xlfn.TEXTSPLIT(Table1[[#This Row],[Item]], "-"), 5))</f>
        <v>0</v>
      </c>
      <c r="G899" s="1" cm="1">
        <f t="array" ref="G899">VALUE(INDEX(_xlfn.TEXTSPLIT(Table1[[#This Row],[Item]], "-"), 6))</f>
        <v>0</v>
      </c>
      <c r="H899" s="1" cm="1">
        <f t="array" ref="H899">VALUE(INDEX(_xlfn.TEXTSPLIT(Table1[[#This Row],[Item]], "-"), 7))</f>
        <v>0</v>
      </c>
      <c r="I899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899" s="1" t="str">
        <f>LEFT(RIGHT(Table1[[#This Row],[Item]],6),1)</f>
        <v>Y</v>
      </c>
      <c r="K899" s="1" t="str">
        <f t="shared" si="15"/>
        <v>N</v>
      </c>
      <c r="L899" s="1" t="str">
        <f>RIGHT(Table1[[#This Row],[Item]],2)</f>
        <v>DG</v>
      </c>
      <c r="M899" s="1" t="s">
        <v>33</v>
      </c>
      <c r="N899" s="3" t="s">
        <v>838</v>
      </c>
      <c r="O899" s="1"/>
    </row>
    <row r="900" spans="1:15" ht="15" customHeight="1">
      <c r="A900" t="s">
        <v>921</v>
      </c>
      <c r="B900" s="1" t="str">
        <f>LEFT(Table1[[#This Row],[Item]], FIND("-", Table1[[#This Row],[Item]]) - 1)</f>
        <v>STT7</v>
      </c>
      <c r="C900" s="1" t="str">
        <f>MID(LEFT(Table1[[#This Row],[Item]], FIND("{token}", SUBSTITUTE(Table1[[#This Row],[Item]], "-", "{token}", 2)) - 1), FIND("-", Table1[[#This Row],[Item]]) + 1, LEN(Table1[[#This Row],[Item]]))</f>
        <v>N</v>
      </c>
      <c r="D90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0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00" s="1" cm="1">
        <f t="array" ref="F900">VALUE(INDEX(_xlfn.TEXTSPLIT(Table1[[#This Row],[Item]], "-"), 5))</f>
        <v>0</v>
      </c>
      <c r="G900" s="1" cm="1">
        <f t="array" ref="G900">VALUE(INDEX(_xlfn.TEXTSPLIT(Table1[[#This Row],[Item]], "-"), 6))</f>
        <v>0</v>
      </c>
      <c r="H900" s="1" cm="1">
        <f t="array" ref="H900">VALUE(INDEX(_xlfn.TEXTSPLIT(Table1[[#This Row],[Item]], "-"), 7))</f>
        <v>0</v>
      </c>
      <c r="I900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900" s="1" t="str">
        <f>LEFT(RIGHT(Table1[[#This Row],[Item]],6),1)</f>
        <v>Y</v>
      </c>
      <c r="K900" s="1" t="str">
        <f t="shared" si="15"/>
        <v>Y</v>
      </c>
      <c r="L900" s="1" t="str">
        <f>RIGHT(Table1[[#This Row],[Item]],2)</f>
        <v>DG</v>
      </c>
      <c r="M900" s="1" t="s">
        <v>33</v>
      </c>
      <c r="N900" s="3" t="s">
        <v>839</v>
      </c>
      <c r="O900" s="1"/>
    </row>
    <row r="901" spans="1:15" ht="15" customHeight="1">
      <c r="A901" t="s">
        <v>922</v>
      </c>
      <c r="B901" s="1" t="str">
        <f>LEFT(Table1[[#This Row],[Item]], FIND("-", Table1[[#This Row],[Item]]) - 1)</f>
        <v>STT9</v>
      </c>
      <c r="C901" s="1" t="str">
        <f>MID(LEFT(Table1[[#This Row],[Item]], FIND("{token}", SUBSTITUTE(Table1[[#This Row],[Item]], "-", "{token}", 2)) - 1), FIND("-", Table1[[#This Row],[Item]]) + 1, LEN(Table1[[#This Row],[Item]]))</f>
        <v>N</v>
      </c>
      <c r="D90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0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01" s="1" cm="1">
        <f t="array" ref="F901">VALUE(INDEX(_xlfn.TEXTSPLIT(Table1[[#This Row],[Item]], "-"), 5))</f>
        <v>0</v>
      </c>
      <c r="G901" s="1" cm="1">
        <f t="array" ref="G901">VALUE(INDEX(_xlfn.TEXTSPLIT(Table1[[#This Row],[Item]], "-"), 6))</f>
        <v>0</v>
      </c>
      <c r="H901" s="1" cm="1">
        <f t="array" ref="H901">VALUE(INDEX(_xlfn.TEXTSPLIT(Table1[[#This Row],[Item]], "-"), 7))</f>
        <v>0</v>
      </c>
      <c r="I901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901" s="1" t="str">
        <f>LEFT(RIGHT(Table1[[#This Row],[Item]],6),1)</f>
        <v>Y</v>
      </c>
      <c r="K901" s="1" t="str">
        <f t="shared" si="15"/>
        <v>Y</v>
      </c>
      <c r="L901" s="1" t="str">
        <f>RIGHT(Table1[[#This Row],[Item]],2)</f>
        <v>DG</v>
      </c>
      <c r="M901" s="1" t="s">
        <v>33</v>
      </c>
      <c r="N901" s="3" t="s">
        <v>840</v>
      </c>
      <c r="O901" s="1"/>
    </row>
    <row r="902" spans="1:15" ht="15" customHeight="1">
      <c r="A902" t="s">
        <v>923</v>
      </c>
      <c r="B902" s="1" t="str">
        <f>LEFT(Table1[[#This Row],[Item]], FIND("-", Table1[[#This Row],[Item]]) - 1)</f>
        <v>ARB8</v>
      </c>
      <c r="C902" s="1" t="str">
        <f>MID(LEFT(Table1[[#This Row],[Item]], FIND("{token}", SUBSTITUTE(Table1[[#This Row],[Item]], "-", "{token}", 2)) - 1), FIND("-", Table1[[#This Row],[Item]]) + 1, LEN(Table1[[#This Row],[Item]]))</f>
        <v>L</v>
      </c>
      <c r="D90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0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902" s="1" cm="1">
        <f t="array" ref="F902">VALUE(INDEX(_xlfn.TEXTSPLIT(Table1[[#This Row],[Item]], "-"), 5))</f>
        <v>1</v>
      </c>
      <c r="G902" s="1" cm="1">
        <f t="array" ref="G902">VALUE(INDEX(_xlfn.TEXTSPLIT(Table1[[#This Row],[Item]], "-"), 6))</f>
        <v>0</v>
      </c>
      <c r="H902" s="1" cm="1">
        <f t="array" ref="H902">VALUE(INDEX(_xlfn.TEXTSPLIT(Table1[[#This Row],[Item]], "-"), 7))</f>
        <v>1</v>
      </c>
      <c r="I902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902" s="1" t="str">
        <f>LEFT(RIGHT(Table1[[#This Row],[Item]],6),1)</f>
        <v>Y</v>
      </c>
      <c r="K902" s="1" t="str">
        <f t="shared" si="15"/>
        <v>Y</v>
      </c>
      <c r="L902" s="1" t="str">
        <f>RIGHT(Table1[[#This Row],[Item]],2)</f>
        <v>DG</v>
      </c>
      <c r="M902" s="1" t="s">
        <v>33</v>
      </c>
      <c r="N902" s="3" t="s">
        <v>849</v>
      </c>
      <c r="O902" s="1"/>
    </row>
    <row r="903" spans="1:15" ht="15" customHeight="1">
      <c r="A903" t="s">
        <v>924</v>
      </c>
      <c r="B903" s="1" t="str">
        <f>LEFT(Table1[[#This Row],[Item]], FIND("-", Table1[[#This Row],[Item]]) - 1)</f>
        <v>MA12</v>
      </c>
      <c r="C903" s="1" t="str">
        <f>MID(LEFT(Table1[[#This Row],[Item]], FIND("{token}", SUBSTITUTE(Table1[[#This Row],[Item]], "-", "{token}", 2)) - 1), FIND("-", Table1[[#This Row],[Item]]) + 1, LEN(Table1[[#This Row],[Item]]))</f>
        <v>DXL</v>
      </c>
      <c r="D90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0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903" s="1" cm="1">
        <f t="array" ref="F903">VALUE(INDEX(_xlfn.TEXTSPLIT(Table1[[#This Row],[Item]], "-"), 5))</f>
        <v>0</v>
      </c>
      <c r="G903" s="1" cm="1">
        <f t="array" ref="G903">VALUE(INDEX(_xlfn.TEXTSPLIT(Table1[[#This Row],[Item]], "-"), 6))</f>
        <v>0</v>
      </c>
      <c r="H903" s="1" cm="1">
        <f t="array" ref="H903">VALUE(INDEX(_xlfn.TEXTSPLIT(Table1[[#This Row],[Item]], "-"), 7))</f>
        <v>0</v>
      </c>
      <c r="I903" s="1" t="str">
        <f>MID(LEFT(Table1[[#This Row],[Item]], FIND("{token}", SUBSTITUTE(Table1[[#This Row],[Item]], "-", "{token}", 8)) - 1), FIND("{token}", SUBSTITUTE(Table1[[#This Row],[Item]], "-", "{token}", 7)) + 1, LEN(Table1[[#This Row],[Item]]))</f>
        <v>LSPO</v>
      </c>
      <c r="J903" s="1" t="str">
        <f>LEFT(RIGHT(Table1[[#This Row],[Item]],6),1)</f>
        <v>Y</v>
      </c>
      <c r="K903" s="1" t="str">
        <f t="shared" si="15"/>
        <v>Y</v>
      </c>
      <c r="L903" s="1" t="str">
        <f>RIGHT(Table1[[#This Row],[Item]],2)</f>
        <v>DG</v>
      </c>
      <c r="M903" s="1" t="s">
        <v>33</v>
      </c>
      <c r="N903" s="3" t="s">
        <v>852</v>
      </c>
      <c r="O903" s="1"/>
    </row>
    <row r="904" spans="1:15" ht="15" customHeight="1">
      <c r="A904" t="s">
        <v>925</v>
      </c>
      <c r="B904" s="1" t="str">
        <f>LEFT(Table1[[#This Row],[Item]], FIND("-", Table1[[#This Row],[Item]]) - 1)</f>
        <v>MA12</v>
      </c>
      <c r="C904" s="1" t="str">
        <f>MID(LEFT(Table1[[#This Row],[Item]], FIND("{token}", SUBSTITUTE(Table1[[#This Row],[Item]], "-", "{token}", 2)) - 1), FIND("-", Table1[[#This Row],[Item]]) + 1, LEN(Table1[[#This Row],[Item]]))</f>
        <v>N</v>
      </c>
      <c r="D90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0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04" s="1" cm="1">
        <f t="array" ref="F904">VALUE(INDEX(_xlfn.TEXTSPLIT(Table1[[#This Row],[Item]], "-"), 5))</f>
        <v>2</v>
      </c>
      <c r="G904" s="1" cm="1">
        <f t="array" ref="G904">VALUE(INDEX(_xlfn.TEXTSPLIT(Table1[[#This Row],[Item]], "-"), 6))</f>
        <v>0</v>
      </c>
      <c r="H904" s="1" cm="1">
        <f t="array" ref="H904">VALUE(INDEX(_xlfn.TEXTSPLIT(Table1[[#This Row],[Item]], "-"), 7))</f>
        <v>0</v>
      </c>
      <c r="I904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904" s="1" t="str">
        <f>LEFT(RIGHT(Table1[[#This Row],[Item]],6),1)</f>
        <v>Y</v>
      </c>
      <c r="K904" s="1" t="str">
        <f t="shared" si="15"/>
        <v>Y</v>
      </c>
      <c r="L904" s="1" t="str">
        <f>RIGHT(Table1[[#This Row],[Item]],2)</f>
        <v>DG</v>
      </c>
      <c r="M904" s="1" t="s">
        <v>33</v>
      </c>
      <c r="N904" s="3" t="s">
        <v>862</v>
      </c>
      <c r="O904" s="1"/>
    </row>
    <row r="905" spans="1:15" ht="15" customHeight="1">
      <c r="A905" t="s">
        <v>926</v>
      </c>
      <c r="B905" s="1" t="str">
        <f>LEFT(Table1[[#This Row],[Item]], FIND("-", Table1[[#This Row],[Item]]) - 1)</f>
        <v>MA12</v>
      </c>
      <c r="C905" s="1" t="str">
        <f>MID(LEFT(Table1[[#This Row],[Item]], FIND("{token}", SUBSTITUTE(Table1[[#This Row],[Item]], "-", "{token}", 2)) - 1), FIND("-", Table1[[#This Row],[Item]]) + 1, LEN(Table1[[#This Row],[Item]]))</f>
        <v>D</v>
      </c>
      <c r="D905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90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905" s="1" cm="1">
        <f t="array" ref="F905">VALUE(INDEX(_xlfn.TEXTSPLIT(Table1[[#This Row],[Item]], "-"), 5))</f>
        <v>0</v>
      </c>
      <c r="G905" s="1" cm="1">
        <f t="array" ref="G905">VALUE(INDEX(_xlfn.TEXTSPLIT(Table1[[#This Row],[Item]], "-"), 6))</f>
        <v>1</v>
      </c>
      <c r="H905" s="1" cm="1">
        <f t="array" ref="H905">VALUE(INDEX(_xlfn.TEXTSPLIT(Table1[[#This Row],[Item]], "-"), 7))</f>
        <v>0</v>
      </c>
      <c r="I905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905" s="1" t="str">
        <f>LEFT(RIGHT(Table1[[#This Row],[Item]],6),1)</f>
        <v>Y</v>
      </c>
      <c r="K905" s="1" t="str">
        <f t="shared" si="15"/>
        <v>Y</v>
      </c>
      <c r="L905" s="1" t="str">
        <f>RIGHT(Table1[[#This Row],[Item]],2)</f>
        <v>DG</v>
      </c>
      <c r="M905" s="1" t="s">
        <v>33</v>
      </c>
      <c r="N905" s="3" t="s">
        <v>864</v>
      </c>
      <c r="O905" s="1"/>
    </row>
    <row r="906" spans="1:15" ht="15" customHeight="1">
      <c r="A906" t="s">
        <v>927</v>
      </c>
      <c r="B906" s="1" t="str">
        <f>LEFT(Table1[[#This Row],[Item]], FIND("-", Table1[[#This Row],[Item]]) - 1)</f>
        <v>STC8</v>
      </c>
      <c r="C906" s="1" t="str">
        <f>MID(LEFT(Table1[[#This Row],[Item]], FIND("{token}", SUBSTITUTE(Table1[[#This Row],[Item]], "-", "{token}", 2)) - 1), FIND("-", Table1[[#This Row],[Item]]) + 1, LEN(Table1[[#This Row],[Item]]))</f>
        <v>N</v>
      </c>
      <c r="D90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0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906" s="1" cm="1">
        <f t="array" ref="F906">VALUE(INDEX(_xlfn.TEXTSPLIT(Table1[[#This Row],[Item]], "-"), 5))</f>
        <v>1</v>
      </c>
      <c r="G906" s="1" cm="1">
        <f t="array" ref="G906">VALUE(INDEX(_xlfn.TEXTSPLIT(Table1[[#This Row],[Item]], "-"), 6))</f>
        <v>0</v>
      </c>
      <c r="H906" s="1" cm="1">
        <f t="array" ref="H906">VALUE(INDEX(_xlfn.TEXTSPLIT(Table1[[#This Row],[Item]], "-"), 7))</f>
        <v>0</v>
      </c>
      <c r="I906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906" s="1" t="str">
        <f>LEFT(RIGHT(Table1[[#This Row],[Item]],6),1)</f>
        <v>Y</v>
      </c>
      <c r="K906" s="1" t="str">
        <f t="shared" si="15"/>
        <v>N</v>
      </c>
      <c r="L906" s="1" t="str">
        <f>RIGHT(Table1[[#This Row],[Item]],2)</f>
        <v>DG</v>
      </c>
      <c r="M906" s="1" t="s">
        <v>33</v>
      </c>
      <c r="N906" s="3" t="s">
        <v>872</v>
      </c>
      <c r="O906" s="1"/>
    </row>
    <row r="907" spans="1:15" ht="15" customHeight="1">
      <c r="A907" t="s">
        <v>928</v>
      </c>
      <c r="B907" s="1" t="str">
        <f>LEFT(Table1[[#This Row],[Item]], FIND("-", Table1[[#This Row],[Item]]) - 1)</f>
        <v>STT7</v>
      </c>
      <c r="C907" s="1" t="str">
        <f>MID(LEFT(Table1[[#This Row],[Item]], FIND("{token}", SUBSTITUTE(Table1[[#This Row],[Item]], "-", "{token}", 2)) - 1), FIND("-", Table1[[#This Row],[Item]]) + 1, LEN(Table1[[#This Row],[Item]]))</f>
        <v>N</v>
      </c>
      <c r="D90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0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07" s="1" cm="1">
        <f t="array" ref="F907">VALUE(INDEX(_xlfn.TEXTSPLIT(Table1[[#This Row],[Item]], "-"), 5))</f>
        <v>0</v>
      </c>
      <c r="G907" s="1" cm="1">
        <f t="array" ref="G907">VALUE(INDEX(_xlfn.TEXTSPLIT(Table1[[#This Row],[Item]], "-"), 6))</f>
        <v>0</v>
      </c>
      <c r="H907" s="1" cm="1">
        <f t="array" ref="H907">VALUE(INDEX(_xlfn.TEXTSPLIT(Table1[[#This Row],[Item]], "-"), 7))</f>
        <v>0</v>
      </c>
      <c r="I90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07" s="1" t="str">
        <f>LEFT(RIGHT(Table1[[#This Row],[Item]],6),1)</f>
        <v>N</v>
      </c>
      <c r="K907" s="1" t="str">
        <f t="shared" si="15"/>
        <v>N</v>
      </c>
      <c r="L907" s="1" t="str">
        <f>RIGHT(Table1[[#This Row],[Item]],2)</f>
        <v>DG</v>
      </c>
      <c r="M907" s="1" t="s">
        <v>33</v>
      </c>
      <c r="N907" s="3" t="s">
        <v>928</v>
      </c>
      <c r="O907" s="1"/>
    </row>
    <row r="908" spans="1:15" ht="15" customHeight="1">
      <c r="A908" t="s">
        <v>929</v>
      </c>
      <c r="B908" s="1" t="str">
        <f>LEFT(Table1[[#This Row],[Item]], FIND("-", Table1[[#This Row],[Item]]) - 1)</f>
        <v>GX12</v>
      </c>
      <c r="C908" s="1" t="str">
        <f>MID(LEFT(Table1[[#This Row],[Item]], FIND("{token}", SUBSTITUTE(Table1[[#This Row],[Item]], "-", "{token}", 2)) - 1), FIND("-", Table1[[#This Row],[Item]]) + 1, LEN(Table1[[#This Row],[Item]]))</f>
        <v>DXL</v>
      </c>
      <c r="D90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0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08" s="1" cm="1">
        <f t="array" ref="F908">VALUE(INDEX(_xlfn.TEXTSPLIT(Table1[[#This Row],[Item]], "-"), 5))</f>
        <v>1</v>
      </c>
      <c r="G908" s="1" cm="1">
        <f t="array" ref="G908">VALUE(INDEX(_xlfn.TEXTSPLIT(Table1[[#This Row],[Item]], "-"), 6))</f>
        <v>2</v>
      </c>
      <c r="H908" s="1" cm="1">
        <f t="array" ref="H908">VALUE(INDEX(_xlfn.TEXTSPLIT(Table1[[#This Row],[Item]], "-"), 7))</f>
        <v>1</v>
      </c>
      <c r="I90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08" s="1" t="str">
        <f>LEFT(RIGHT(Table1[[#This Row],[Item]],6),1)</f>
        <v>N</v>
      </c>
      <c r="K908" s="1" t="str">
        <f t="shared" si="15"/>
        <v>N</v>
      </c>
      <c r="L908" s="1" t="str">
        <f>RIGHT(Table1[[#This Row],[Item]],2)</f>
        <v>DG</v>
      </c>
      <c r="M908" s="1" t="s">
        <v>33</v>
      </c>
      <c r="N908" s="3" t="s">
        <v>929</v>
      </c>
      <c r="O908" s="1"/>
    </row>
    <row r="909" spans="1:15" ht="15" customHeight="1">
      <c r="A909" t="s">
        <v>930</v>
      </c>
      <c r="B909" s="1" t="str">
        <f>LEFT(Table1[[#This Row],[Item]], FIND("-", Table1[[#This Row],[Item]]) - 1)</f>
        <v>ARB8</v>
      </c>
      <c r="C909" s="1" t="str">
        <f>MID(LEFT(Table1[[#This Row],[Item]], FIND("{token}", SUBSTITUTE(Table1[[#This Row],[Item]], "-", "{token}", 2)) - 1), FIND("-", Table1[[#This Row],[Item]]) + 1, LEN(Table1[[#This Row],[Item]]))</f>
        <v>L</v>
      </c>
      <c r="D909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0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909" s="1" cm="1">
        <f t="array" ref="F909">VALUE(INDEX(_xlfn.TEXTSPLIT(Table1[[#This Row],[Item]], "-"), 5))</f>
        <v>1</v>
      </c>
      <c r="G909" s="1" cm="1">
        <f t="array" ref="G909">VALUE(INDEX(_xlfn.TEXTSPLIT(Table1[[#This Row],[Item]], "-"), 6))</f>
        <v>0</v>
      </c>
      <c r="H909" s="1" cm="1">
        <f t="array" ref="H909">VALUE(INDEX(_xlfn.TEXTSPLIT(Table1[[#This Row],[Item]], "-"), 7))</f>
        <v>1</v>
      </c>
      <c r="I909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909" s="1" t="str">
        <f>LEFT(RIGHT(Table1[[#This Row],[Item]],6),1)</f>
        <v>Y</v>
      </c>
      <c r="K909" s="1" t="str">
        <f t="shared" si="15"/>
        <v>Y</v>
      </c>
      <c r="L909" s="1" t="str">
        <f>RIGHT(Table1[[#This Row],[Item]],2)</f>
        <v>DG</v>
      </c>
      <c r="M909" s="1" t="s">
        <v>33</v>
      </c>
      <c r="N909" s="3" t="s">
        <v>930</v>
      </c>
      <c r="O909" s="1"/>
    </row>
    <row r="910" spans="1:15" ht="15" customHeight="1">
      <c r="A910" t="s">
        <v>931</v>
      </c>
      <c r="B910" s="1" t="str">
        <f>LEFT(Table1[[#This Row],[Item]], FIND("-", Table1[[#This Row],[Item]]) - 1)</f>
        <v>GX14</v>
      </c>
      <c r="C910" s="1" t="str">
        <f>MID(LEFT(Table1[[#This Row],[Item]], FIND("{token}", SUBSTITUTE(Table1[[#This Row],[Item]], "-", "{token}", 2)) - 1), FIND("-", Table1[[#This Row],[Item]]) + 1, LEN(Table1[[#This Row],[Item]]))</f>
        <v>DXL</v>
      </c>
      <c r="D91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1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910" s="1" cm="1">
        <f t="array" ref="F910">VALUE(INDEX(_xlfn.TEXTSPLIT(Table1[[#This Row],[Item]], "-"), 5))</f>
        <v>2</v>
      </c>
      <c r="G910" s="1" cm="1">
        <f t="array" ref="G910">VALUE(INDEX(_xlfn.TEXTSPLIT(Table1[[#This Row],[Item]], "-"), 6))</f>
        <v>2</v>
      </c>
      <c r="H910" s="1" cm="1">
        <f t="array" ref="H910">VALUE(INDEX(_xlfn.TEXTSPLIT(Table1[[#This Row],[Item]], "-"), 7))</f>
        <v>0</v>
      </c>
      <c r="I91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10" s="1" t="str">
        <f>LEFT(RIGHT(Table1[[#This Row],[Item]],6),1)</f>
        <v>N</v>
      </c>
      <c r="K910" s="1" t="str">
        <f t="shared" si="15"/>
        <v>N</v>
      </c>
      <c r="L910" s="1" t="str">
        <f>RIGHT(Table1[[#This Row],[Item]],2)</f>
        <v>DG</v>
      </c>
      <c r="M910" s="1" t="s">
        <v>33</v>
      </c>
      <c r="N910" s="3" t="s">
        <v>931</v>
      </c>
      <c r="O910" s="1"/>
    </row>
    <row r="911" spans="1:15" ht="15" customHeight="1">
      <c r="A911" t="s">
        <v>932</v>
      </c>
      <c r="B911" s="1" t="str">
        <f>LEFT(Table1[[#This Row],[Item]], FIND("-", Table1[[#This Row],[Item]]) - 1)</f>
        <v>GX08</v>
      </c>
      <c r="C911" s="1" t="str">
        <f>MID(LEFT(Table1[[#This Row],[Item]], FIND("{token}", SUBSTITUTE(Table1[[#This Row],[Item]], "-", "{token}", 2)) - 1), FIND("-", Table1[[#This Row],[Item]]) + 1, LEN(Table1[[#This Row],[Item]]))</f>
        <v>C</v>
      </c>
      <c r="D91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1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11" s="1" cm="1">
        <f t="array" ref="F911">VALUE(INDEX(_xlfn.TEXTSPLIT(Table1[[#This Row],[Item]], "-"), 5))</f>
        <v>0</v>
      </c>
      <c r="G911" s="1" cm="1">
        <f t="array" ref="G911">VALUE(INDEX(_xlfn.TEXTSPLIT(Table1[[#This Row],[Item]], "-"), 6))</f>
        <v>1</v>
      </c>
      <c r="H911" s="1" cm="1">
        <f t="array" ref="H911">VALUE(INDEX(_xlfn.TEXTSPLIT(Table1[[#This Row],[Item]], "-"), 7))</f>
        <v>0</v>
      </c>
      <c r="I91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11" s="1" t="str">
        <f>LEFT(RIGHT(Table1[[#This Row],[Item]],6),1)</f>
        <v>N</v>
      </c>
      <c r="K911" s="1" t="str">
        <f t="shared" si="15"/>
        <v>N</v>
      </c>
      <c r="L911" s="1" t="str">
        <f>RIGHT(Table1[[#This Row],[Item]],2)</f>
        <v>DG</v>
      </c>
      <c r="M911" s="1" t="s">
        <v>33</v>
      </c>
      <c r="N911" s="3" t="s">
        <v>932</v>
      </c>
      <c r="O911" s="1"/>
    </row>
    <row r="912" spans="1:15" ht="15" customHeight="1">
      <c r="A912" t="s">
        <v>933</v>
      </c>
      <c r="B912" s="1" t="str">
        <f>LEFT(Table1[[#This Row],[Item]], FIND("-", Table1[[#This Row],[Item]]) - 1)</f>
        <v>GX14</v>
      </c>
      <c r="C912" s="1" t="str">
        <f>MID(LEFT(Table1[[#This Row],[Item]], FIND("{token}", SUBSTITUTE(Table1[[#This Row],[Item]], "-", "{token}", 2)) - 1), FIND("-", Table1[[#This Row],[Item]]) + 1, LEN(Table1[[#This Row],[Item]]))</f>
        <v>D</v>
      </c>
      <c r="D91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1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912" s="1" cm="1">
        <f t="array" ref="F912">VALUE(INDEX(_xlfn.TEXTSPLIT(Table1[[#This Row],[Item]], "-"), 5))</f>
        <v>2</v>
      </c>
      <c r="G912" s="1" cm="1">
        <f t="array" ref="G912">VALUE(INDEX(_xlfn.TEXTSPLIT(Table1[[#This Row],[Item]], "-"), 6))</f>
        <v>2</v>
      </c>
      <c r="H912" s="1" cm="1">
        <f t="array" ref="H912">VALUE(INDEX(_xlfn.TEXTSPLIT(Table1[[#This Row],[Item]], "-"), 7))</f>
        <v>0</v>
      </c>
      <c r="I91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12" s="1" t="str">
        <f>LEFT(RIGHT(Table1[[#This Row],[Item]],6),1)</f>
        <v>N</v>
      </c>
      <c r="K912" s="1" t="str">
        <f t="shared" si="15"/>
        <v>N</v>
      </c>
      <c r="L912" s="1" t="str">
        <f>RIGHT(Table1[[#This Row],[Item]],2)</f>
        <v>DG</v>
      </c>
      <c r="M912" s="1" t="s">
        <v>33</v>
      </c>
      <c r="N912" s="3" t="s">
        <v>933</v>
      </c>
      <c r="O912" s="1"/>
    </row>
    <row r="913" spans="1:15" ht="15" customHeight="1">
      <c r="A913" t="s">
        <v>934</v>
      </c>
      <c r="B913" s="1" t="str">
        <f>LEFT(Table1[[#This Row],[Item]], FIND("-", Table1[[#This Row],[Item]]) - 1)</f>
        <v>MA12</v>
      </c>
      <c r="C913" s="1" t="str">
        <f>MID(LEFT(Table1[[#This Row],[Item]], FIND("{token}", SUBSTITUTE(Table1[[#This Row],[Item]], "-", "{token}", 2)) - 1), FIND("-", Table1[[#This Row],[Item]]) + 1, LEN(Table1[[#This Row],[Item]]))</f>
        <v>D</v>
      </c>
      <c r="D91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91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13" s="1" cm="1">
        <f t="array" ref="F913">VALUE(INDEX(_xlfn.TEXTSPLIT(Table1[[#This Row],[Item]], "-"), 5))</f>
        <v>0</v>
      </c>
      <c r="G913" s="1" cm="1">
        <f t="array" ref="G913">VALUE(INDEX(_xlfn.TEXTSPLIT(Table1[[#This Row],[Item]], "-"), 6))</f>
        <v>0</v>
      </c>
      <c r="H913" s="1" cm="1">
        <f t="array" ref="H913">VALUE(INDEX(_xlfn.TEXTSPLIT(Table1[[#This Row],[Item]], "-"), 7))</f>
        <v>1</v>
      </c>
      <c r="I913" s="1" t="str">
        <f>MID(LEFT(Table1[[#This Row],[Item]], FIND("{token}", SUBSTITUTE(Table1[[#This Row],[Item]], "-", "{token}", 8)) - 1), FIND("{token}", SUBSTITUTE(Table1[[#This Row],[Item]], "-", "{token}", 7)) + 1, LEN(Table1[[#This Row],[Item]]))</f>
        <v>SPO</v>
      </c>
      <c r="J913" s="1" t="str">
        <f>LEFT(RIGHT(Table1[[#This Row],[Item]],6),1)</f>
        <v>Y</v>
      </c>
      <c r="K913" s="1" t="str">
        <f t="shared" si="15"/>
        <v>Y</v>
      </c>
      <c r="L913" s="1" t="str">
        <f>RIGHT(Table1[[#This Row],[Item]],2)</f>
        <v>DG</v>
      </c>
      <c r="M913" s="1" t="s">
        <v>33</v>
      </c>
      <c r="N913" s="3" t="s">
        <v>934</v>
      </c>
      <c r="O913" s="1"/>
    </row>
    <row r="914" spans="1:15" ht="15" customHeight="1">
      <c r="A914" t="s">
        <v>935</v>
      </c>
      <c r="B914" s="1" t="str">
        <f>LEFT(Table1[[#This Row],[Item]], FIND("-", Table1[[#This Row],[Item]]) - 1)</f>
        <v>ARB8</v>
      </c>
      <c r="C914" s="1" t="str">
        <f>MID(LEFT(Table1[[#This Row],[Item]], FIND("{token}", SUBSTITUTE(Table1[[#This Row],[Item]], "-", "{token}", 2)) - 1), FIND("-", Table1[[#This Row],[Item]]) + 1, LEN(Table1[[#This Row],[Item]]))</f>
        <v>L</v>
      </c>
      <c r="D914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1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914" s="1" cm="1">
        <f t="array" ref="F914">VALUE(INDEX(_xlfn.TEXTSPLIT(Table1[[#This Row],[Item]], "-"), 5))</f>
        <v>1</v>
      </c>
      <c r="G914" s="1" cm="1">
        <f t="array" ref="G914">VALUE(INDEX(_xlfn.TEXTSPLIT(Table1[[#This Row],[Item]], "-"), 6))</f>
        <v>0</v>
      </c>
      <c r="H914" s="1" cm="1">
        <f t="array" ref="H914">VALUE(INDEX(_xlfn.TEXTSPLIT(Table1[[#This Row],[Item]], "-"), 7))</f>
        <v>1</v>
      </c>
      <c r="I914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914" s="1" t="str">
        <f>LEFT(RIGHT(Table1[[#This Row],[Item]],6),1)</f>
        <v>Y</v>
      </c>
      <c r="K914" s="1" t="str">
        <f t="shared" si="15"/>
        <v>N</v>
      </c>
      <c r="L914" s="1" t="str">
        <f>RIGHT(Table1[[#This Row],[Item]],2)</f>
        <v>DG</v>
      </c>
      <c r="M914" s="1" t="s">
        <v>33</v>
      </c>
      <c r="N914" s="3" t="s">
        <v>935</v>
      </c>
      <c r="O914" s="1"/>
    </row>
    <row r="915" spans="1:15" ht="15" customHeight="1">
      <c r="A915" t="s">
        <v>936</v>
      </c>
      <c r="B915" s="1" t="str">
        <f>LEFT(Table1[[#This Row],[Item]], FIND("-", Table1[[#This Row],[Item]]) - 1)</f>
        <v>GX06</v>
      </c>
      <c r="C915" s="1" t="str">
        <f>MID(LEFT(Table1[[#This Row],[Item]], FIND("{token}", SUBSTITUTE(Table1[[#This Row],[Item]], "-", "{token}", 2)) - 1), FIND("-", Table1[[#This Row],[Item]]) + 1, LEN(Table1[[#This Row],[Item]]))</f>
        <v>RXL</v>
      </c>
      <c r="D91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1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15" s="1" cm="1">
        <f t="array" ref="F915">VALUE(INDEX(_xlfn.TEXTSPLIT(Table1[[#This Row],[Item]], "-"), 5))</f>
        <v>1</v>
      </c>
      <c r="G915" s="1" cm="1">
        <f t="array" ref="G915">VALUE(INDEX(_xlfn.TEXTSPLIT(Table1[[#This Row],[Item]], "-"), 6))</f>
        <v>1</v>
      </c>
      <c r="H915" s="1" cm="1">
        <f t="array" ref="H915">VALUE(INDEX(_xlfn.TEXTSPLIT(Table1[[#This Row],[Item]], "-"), 7))</f>
        <v>0</v>
      </c>
      <c r="I91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15" s="1" t="str">
        <f>LEFT(RIGHT(Table1[[#This Row],[Item]],6),1)</f>
        <v>N</v>
      </c>
      <c r="K915" s="1" t="str">
        <f t="shared" si="15"/>
        <v>N</v>
      </c>
      <c r="L915" s="1" t="str">
        <f>RIGHT(Table1[[#This Row],[Item]],2)</f>
        <v>DG</v>
      </c>
      <c r="M915" s="1" t="s">
        <v>33</v>
      </c>
      <c r="N915" s="3" t="s">
        <v>936</v>
      </c>
      <c r="O915" s="1"/>
    </row>
    <row r="916" spans="1:15" ht="15" customHeight="1">
      <c r="A916" t="s">
        <v>937</v>
      </c>
      <c r="B916" s="1" t="str">
        <f>LEFT(Table1[[#This Row],[Item]], FIND("-", Table1[[#This Row],[Item]]) - 1)</f>
        <v>GX12</v>
      </c>
      <c r="C916" s="1" t="str">
        <f>MID(LEFT(Table1[[#This Row],[Item]], FIND("{token}", SUBSTITUTE(Table1[[#This Row],[Item]], "-", "{token}", 2)) - 1), FIND("-", Table1[[#This Row],[Item]]) + 1, LEN(Table1[[#This Row],[Item]]))</f>
        <v>RXL</v>
      </c>
      <c r="D916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91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16" s="1" cm="1">
        <f t="array" ref="F916">VALUE(INDEX(_xlfn.TEXTSPLIT(Table1[[#This Row],[Item]], "-"), 5))</f>
        <v>1</v>
      </c>
      <c r="G916" s="1" cm="1">
        <f t="array" ref="G916">VALUE(INDEX(_xlfn.TEXTSPLIT(Table1[[#This Row],[Item]], "-"), 6))</f>
        <v>2</v>
      </c>
      <c r="H916" s="1" cm="1">
        <f t="array" ref="H916">VALUE(INDEX(_xlfn.TEXTSPLIT(Table1[[#This Row],[Item]], "-"), 7))</f>
        <v>0</v>
      </c>
      <c r="I91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16" s="1" t="str">
        <f>LEFT(RIGHT(Table1[[#This Row],[Item]],6),1)</f>
        <v>N</v>
      </c>
      <c r="K916" s="1" t="str">
        <f t="shared" si="15"/>
        <v>N</v>
      </c>
      <c r="L916" s="1" t="str">
        <f>RIGHT(Table1[[#This Row],[Item]],2)</f>
        <v>DG</v>
      </c>
      <c r="M916" s="1" t="s">
        <v>33</v>
      </c>
      <c r="N916" s="3" t="s">
        <v>937</v>
      </c>
      <c r="O916" s="1"/>
    </row>
    <row r="917" spans="1:15" ht="15" customHeight="1">
      <c r="A917" t="s">
        <v>938</v>
      </c>
      <c r="B917" s="1" t="str">
        <f>LEFT(Table1[[#This Row],[Item]], FIND("-", Table1[[#This Row],[Item]]) - 1)</f>
        <v>GX08</v>
      </c>
      <c r="C917" s="1" t="str">
        <f>MID(LEFT(Table1[[#This Row],[Item]], FIND("{token}", SUBSTITUTE(Table1[[#This Row],[Item]], "-", "{token}", 2)) - 1), FIND("-", Table1[[#This Row],[Item]]) + 1, LEN(Table1[[#This Row],[Item]]))</f>
        <v>N</v>
      </c>
      <c r="D91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1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17" s="1" cm="1">
        <f t="array" ref="F917">VALUE(INDEX(_xlfn.TEXTSPLIT(Table1[[#This Row],[Item]], "-"), 5))</f>
        <v>1</v>
      </c>
      <c r="G917" s="1" cm="1">
        <f t="array" ref="G917">VALUE(INDEX(_xlfn.TEXTSPLIT(Table1[[#This Row],[Item]], "-"), 6))</f>
        <v>1</v>
      </c>
      <c r="H917" s="1" cm="1">
        <f t="array" ref="H917">VALUE(INDEX(_xlfn.TEXTSPLIT(Table1[[#This Row],[Item]], "-"), 7))</f>
        <v>0</v>
      </c>
      <c r="I91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17" s="1" t="str">
        <f>LEFT(RIGHT(Table1[[#This Row],[Item]],6),1)</f>
        <v>N</v>
      </c>
      <c r="K917" s="1" t="str">
        <f t="shared" si="15"/>
        <v>N</v>
      </c>
      <c r="L917" s="1" t="str">
        <f>RIGHT(Table1[[#This Row],[Item]],2)</f>
        <v>DG</v>
      </c>
      <c r="M917" s="1" t="s">
        <v>33</v>
      </c>
      <c r="N917" s="3" t="s">
        <v>938</v>
      </c>
      <c r="O917" s="1"/>
    </row>
    <row r="918" spans="1:15" ht="15" customHeight="1">
      <c r="A918" t="s">
        <v>939</v>
      </c>
      <c r="B918" s="1" t="str">
        <f>LEFT(Table1[[#This Row],[Item]], FIND("-", Table1[[#This Row],[Item]]) - 1)</f>
        <v>GX08</v>
      </c>
      <c r="C918" s="1" t="str">
        <f>MID(LEFT(Table1[[#This Row],[Item]], FIND("{token}", SUBSTITUTE(Table1[[#This Row],[Item]], "-", "{token}", 2)) - 1), FIND("-", Table1[[#This Row],[Item]]) + 1, LEN(Table1[[#This Row],[Item]]))</f>
        <v>LXL</v>
      </c>
      <c r="D918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1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18" s="1" cm="1">
        <f t="array" ref="F918">VALUE(INDEX(_xlfn.TEXTSPLIT(Table1[[#This Row],[Item]], "-"), 5))</f>
        <v>1</v>
      </c>
      <c r="G918" s="1" cm="1">
        <f t="array" ref="G918">VALUE(INDEX(_xlfn.TEXTSPLIT(Table1[[#This Row],[Item]], "-"), 6))</f>
        <v>1</v>
      </c>
      <c r="H918" s="1" cm="1">
        <f t="array" ref="H918">VALUE(INDEX(_xlfn.TEXTSPLIT(Table1[[#This Row],[Item]], "-"), 7))</f>
        <v>0</v>
      </c>
      <c r="I91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18" s="1" t="str">
        <f>LEFT(RIGHT(Table1[[#This Row],[Item]],6),1)</f>
        <v>N</v>
      </c>
      <c r="K918" s="1" t="str">
        <f t="shared" si="15"/>
        <v>N</v>
      </c>
      <c r="L918" s="1" t="str">
        <f>RIGHT(Table1[[#This Row],[Item]],2)</f>
        <v>DG</v>
      </c>
      <c r="M918" s="1" t="s">
        <v>33</v>
      </c>
      <c r="N918" s="3" t="s">
        <v>939</v>
      </c>
      <c r="O918" s="1"/>
    </row>
    <row r="919" spans="1:15" ht="15" customHeight="1">
      <c r="A919" t="s">
        <v>940</v>
      </c>
      <c r="B919" s="1" t="str">
        <f>LEFT(Table1[[#This Row],[Item]], FIND("-", Table1[[#This Row],[Item]]) - 1)</f>
        <v>GX05</v>
      </c>
      <c r="C919" s="1" t="str">
        <f>MID(LEFT(Table1[[#This Row],[Item]], FIND("{token}", SUBSTITUTE(Table1[[#This Row],[Item]], "-", "{token}", 2)) - 1), FIND("-", Table1[[#This Row],[Item]]) + 1, LEN(Table1[[#This Row],[Item]]))</f>
        <v>R</v>
      </c>
      <c r="D91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1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19" s="1" cm="1">
        <f t="array" ref="F919">VALUE(INDEX(_xlfn.TEXTSPLIT(Table1[[#This Row],[Item]], "-"), 5))</f>
        <v>0</v>
      </c>
      <c r="G919" s="1" cm="1">
        <f t="array" ref="G919">VALUE(INDEX(_xlfn.TEXTSPLIT(Table1[[#This Row],[Item]], "-"), 6))</f>
        <v>0</v>
      </c>
      <c r="H919" s="1" cm="1">
        <f t="array" ref="H919">VALUE(INDEX(_xlfn.TEXTSPLIT(Table1[[#This Row],[Item]], "-"), 7))</f>
        <v>0</v>
      </c>
      <c r="I91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19" s="1" t="str">
        <f>LEFT(RIGHT(Table1[[#This Row],[Item]],6),1)</f>
        <v>N</v>
      </c>
      <c r="K919" s="1" t="str">
        <f t="shared" si="15"/>
        <v>N</v>
      </c>
      <c r="L919" s="1" t="str">
        <f>RIGHT(Table1[[#This Row],[Item]],2)</f>
        <v>DG</v>
      </c>
      <c r="M919" s="1" t="s">
        <v>33</v>
      </c>
      <c r="N919" s="3" t="s">
        <v>940</v>
      </c>
      <c r="O919" s="1"/>
    </row>
    <row r="920" spans="1:15" ht="15" customHeight="1">
      <c r="A920" t="s">
        <v>941</v>
      </c>
      <c r="B920" s="1" t="str">
        <f>LEFT(Table1[[#This Row],[Item]], FIND("-", Table1[[#This Row],[Item]]) - 1)</f>
        <v>GX10</v>
      </c>
      <c r="C920" s="1" t="str">
        <f>MID(LEFT(Table1[[#This Row],[Item]], FIND("{token}", SUBSTITUTE(Table1[[#This Row],[Item]], "-", "{token}", 2)) - 1), FIND("-", Table1[[#This Row],[Item]]) + 1, LEN(Table1[[#This Row],[Item]]))</f>
        <v>D</v>
      </c>
      <c r="D92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92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D2</v>
      </c>
      <c r="F920" s="1" cm="1">
        <f t="array" ref="F920">VALUE(INDEX(_xlfn.TEXTSPLIT(Table1[[#This Row],[Item]], "-"), 5))</f>
        <v>1</v>
      </c>
      <c r="G920" s="1" cm="1">
        <f t="array" ref="G920">VALUE(INDEX(_xlfn.TEXTSPLIT(Table1[[#This Row],[Item]], "-"), 6))</f>
        <v>1</v>
      </c>
      <c r="H920" s="1" cm="1">
        <f t="array" ref="H920">VALUE(INDEX(_xlfn.TEXTSPLIT(Table1[[#This Row],[Item]], "-"), 7))</f>
        <v>0</v>
      </c>
      <c r="I92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20" s="1" t="str">
        <f>LEFT(RIGHT(Table1[[#This Row],[Item]],6),1)</f>
        <v>N</v>
      </c>
      <c r="K920" s="1" t="str">
        <f t="shared" si="15"/>
        <v>N</v>
      </c>
      <c r="L920" s="1" t="str">
        <f>RIGHT(Table1[[#This Row],[Item]],2)</f>
        <v>DG</v>
      </c>
      <c r="M920" s="1" t="s">
        <v>33</v>
      </c>
      <c r="N920" s="3" t="s">
        <v>941</v>
      </c>
      <c r="O920" s="1"/>
    </row>
    <row r="921" spans="1:15" ht="15" customHeight="1">
      <c r="A921" t="s">
        <v>942</v>
      </c>
      <c r="B921" s="1" t="str">
        <f>LEFT(Table1[[#This Row],[Item]], FIND("-", Table1[[#This Row],[Item]]) - 1)</f>
        <v>GX08</v>
      </c>
      <c r="C921" s="1" t="str">
        <f>MID(LEFT(Table1[[#This Row],[Item]], FIND("{token}", SUBSTITUTE(Table1[[#This Row],[Item]], "-", "{token}", 2)) - 1), FIND("-", Table1[[#This Row],[Item]]) + 1, LEN(Table1[[#This Row],[Item]]))</f>
        <v>RXL</v>
      </c>
      <c r="D92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2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921" s="1" cm="1">
        <f t="array" ref="F921">VALUE(INDEX(_xlfn.TEXTSPLIT(Table1[[#This Row],[Item]], "-"), 5))</f>
        <v>1</v>
      </c>
      <c r="G921" s="1" cm="1">
        <f t="array" ref="G921">VALUE(INDEX(_xlfn.TEXTSPLIT(Table1[[#This Row],[Item]], "-"), 6))</f>
        <v>1</v>
      </c>
      <c r="H921" s="1" cm="1">
        <f t="array" ref="H921">VALUE(INDEX(_xlfn.TEXTSPLIT(Table1[[#This Row],[Item]], "-"), 7))</f>
        <v>0</v>
      </c>
      <c r="I92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21" s="1" t="str">
        <f>LEFT(RIGHT(Table1[[#This Row],[Item]],6),1)</f>
        <v>N</v>
      </c>
      <c r="K921" s="1" t="str">
        <f t="shared" si="15"/>
        <v>N</v>
      </c>
      <c r="L921" s="1" t="str">
        <f>RIGHT(Table1[[#This Row],[Item]],2)</f>
        <v>DG</v>
      </c>
      <c r="M921" s="1" t="s">
        <v>33</v>
      </c>
      <c r="N921" s="3" t="s">
        <v>942</v>
      </c>
      <c r="O921" s="1"/>
    </row>
    <row r="922" spans="1:15" ht="15" customHeight="1">
      <c r="A922" t="s">
        <v>943</v>
      </c>
      <c r="B922" s="1" t="str">
        <f>LEFT(Table1[[#This Row],[Item]], FIND("-", Table1[[#This Row],[Item]]) - 1)</f>
        <v>STT7</v>
      </c>
      <c r="C922" s="1" t="str">
        <f>MID(LEFT(Table1[[#This Row],[Item]], FIND("{token}", SUBSTITUTE(Table1[[#This Row],[Item]], "-", "{token}", 2)) - 1), FIND("-", Table1[[#This Row],[Item]]) + 1, LEN(Table1[[#This Row],[Item]]))</f>
        <v>N</v>
      </c>
      <c r="D92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2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22" s="1" cm="1">
        <f t="array" ref="F922">VALUE(INDEX(_xlfn.TEXTSPLIT(Table1[[#This Row],[Item]], "-"), 5))</f>
        <v>0</v>
      </c>
      <c r="G922" s="1" cm="1">
        <f t="array" ref="G922">VALUE(INDEX(_xlfn.TEXTSPLIT(Table1[[#This Row],[Item]], "-"), 6))</f>
        <v>0</v>
      </c>
      <c r="H922" s="1" cm="1">
        <f t="array" ref="H922">VALUE(INDEX(_xlfn.TEXTSPLIT(Table1[[#This Row],[Item]], "-"), 7))</f>
        <v>0</v>
      </c>
      <c r="I92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22" s="1" t="str">
        <f>LEFT(RIGHT(Table1[[#This Row],[Item]],6),1)</f>
        <v>Y</v>
      </c>
      <c r="K922" s="1" t="str">
        <f t="shared" ref="K922:K985" si="16">MID(A922, LEN(A922)-3, 1)</f>
        <v>N</v>
      </c>
      <c r="L922" s="1" t="str">
        <f>RIGHT(Table1[[#This Row],[Item]],2)</f>
        <v>DG</v>
      </c>
      <c r="M922" s="1" t="s">
        <v>33</v>
      </c>
      <c r="N922" s="3" t="s">
        <v>943</v>
      </c>
      <c r="O922" s="1"/>
    </row>
    <row r="923" spans="1:15" ht="15" customHeight="1">
      <c r="A923" t="s">
        <v>944</v>
      </c>
      <c r="B923" s="1" t="str">
        <f>LEFT(Table1[[#This Row],[Item]], FIND("-", Table1[[#This Row],[Item]]) - 1)</f>
        <v>GX10</v>
      </c>
      <c r="C923" s="1" t="str">
        <f>MID(LEFT(Table1[[#This Row],[Item]], FIND("{token}", SUBSTITUTE(Table1[[#This Row],[Item]], "-", "{token}", 2)) - 1), FIND("-", Table1[[#This Row],[Item]]) + 1, LEN(Table1[[#This Row],[Item]]))</f>
        <v>D</v>
      </c>
      <c r="D923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92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923" s="1" cm="1">
        <f t="array" ref="F923">VALUE(INDEX(_xlfn.TEXTSPLIT(Table1[[#This Row],[Item]], "-"), 5))</f>
        <v>1</v>
      </c>
      <c r="G923" s="1" cm="1">
        <f t="array" ref="G923">VALUE(INDEX(_xlfn.TEXTSPLIT(Table1[[#This Row],[Item]], "-"), 6))</f>
        <v>1</v>
      </c>
      <c r="H923" s="1" cm="1">
        <f t="array" ref="H923">VALUE(INDEX(_xlfn.TEXTSPLIT(Table1[[#This Row],[Item]], "-"), 7))</f>
        <v>0</v>
      </c>
      <c r="I92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23" s="1" t="str">
        <f>LEFT(RIGHT(Table1[[#This Row],[Item]],6),1)</f>
        <v>N</v>
      </c>
      <c r="K923" s="1" t="str">
        <f t="shared" si="16"/>
        <v>N</v>
      </c>
      <c r="L923" s="1" t="str">
        <f>RIGHT(Table1[[#This Row],[Item]],2)</f>
        <v>DG</v>
      </c>
      <c r="M923" s="1" t="s">
        <v>33</v>
      </c>
      <c r="N923" s="3" t="s">
        <v>944</v>
      </c>
      <c r="O923" s="1"/>
    </row>
    <row r="924" spans="1:15" ht="15" customHeight="1">
      <c r="A924" t="s">
        <v>945</v>
      </c>
      <c r="B924" s="1" t="str">
        <f>LEFT(Table1[[#This Row],[Item]], FIND("-", Table1[[#This Row],[Item]]) - 1)</f>
        <v>ARB8</v>
      </c>
      <c r="C924" s="1" t="str">
        <f>MID(LEFT(Table1[[#This Row],[Item]], FIND("{token}", SUBSTITUTE(Table1[[#This Row],[Item]], "-", "{token}", 2)) - 1), FIND("-", Table1[[#This Row],[Item]]) + 1, LEN(Table1[[#This Row],[Item]]))</f>
        <v>LXL</v>
      </c>
      <c r="D92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2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924" s="1" cm="1">
        <f t="array" ref="F924">VALUE(INDEX(_xlfn.TEXTSPLIT(Table1[[#This Row],[Item]], "-"), 5))</f>
        <v>1</v>
      </c>
      <c r="G924" s="1" cm="1">
        <f t="array" ref="G924">VALUE(INDEX(_xlfn.TEXTSPLIT(Table1[[#This Row],[Item]], "-"), 6))</f>
        <v>0</v>
      </c>
      <c r="H924" s="1" cm="1">
        <f t="array" ref="H924">VALUE(INDEX(_xlfn.TEXTSPLIT(Table1[[#This Row],[Item]], "-"), 7))</f>
        <v>1</v>
      </c>
      <c r="I924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924" s="1" t="str">
        <f>LEFT(RIGHT(Table1[[#This Row],[Item]],6),1)</f>
        <v>Y</v>
      </c>
      <c r="K924" s="1" t="str">
        <f t="shared" si="16"/>
        <v>Y</v>
      </c>
      <c r="L924" s="1" t="str">
        <f>RIGHT(Table1[[#This Row],[Item]],2)</f>
        <v>DG</v>
      </c>
      <c r="M924" s="1" t="s">
        <v>33</v>
      </c>
      <c r="N924" s="3" t="s">
        <v>945</v>
      </c>
      <c r="O924" s="1"/>
    </row>
    <row r="925" spans="1:15" ht="15" customHeight="1">
      <c r="A925" t="s">
        <v>946</v>
      </c>
      <c r="B925" s="1" t="str">
        <f>LEFT(Table1[[#This Row],[Item]], FIND("-", Table1[[#This Row],[Item]]) - 1)</f>
        <v>STT9</v>
      </c>
      <c r="C925" s="1" t="str">
        <f>MID(LEFT(Table1[[#This Row],[Item]], FIND("{token}", SUBSTITUTE(Table1[[#This Row],[Item]], "-", "{token}", 2)) - 1), FIND("-", Table1[[#This Row],[Item]]) + 1, LEN(Table1[[#This Row],[Item]]))</f>
        <v>N</v>
      </c>
      <c r="D92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2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25" s="1" cm="1">
        <f t="array" ref="F925">VALUE(INDEX(_xlfn.TEXTSPLIT(Table1[[#This Row],[Item]], "-"), 5))</f>
        <v>0</v>
      </c>
      <c r="G925" s="1" cm="1">
        <f t="array" ref="G925">VALUE(INDEX(_xlfn.TEXTSPLIT(Table1[[#This Row],[Item]], "-"), 6))</f>
        <v>0</v>
      </c>
      <c r="H925" s="1" cm="1">
        <f t="array" ref="H925">VALUE(INDEX(_xlfn.TEXTSPLIT(Table1[[#This Row],[Item]], "-"), 7))</f>
        <v>0</v>
      </c>
      <c r="I92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25" s="1" t="str">
        <f>LEFT(RIGHT(Table1[[#This Row],[Item]],6),1)</f>
        <v>N</v>
      </c>
      <c r="K925" s="1" t="str">
        <f t="shared" si="16"/>
        <v>Y</v>
      </c>
      <c r="L925" s="1" t="str">
        <f>RIGHT(Table1[[#This Row],[Item]],2)</f>
        <v>DG</v>
      </c>
      <c r="M925" s="1" t="s">
        <v>33</v>
      </c>
      <c r="N925" s="3" t="s">
        <v>946</v>
      </c>
      <c r="O925" s="1"/>
    </row>
    <row r="926" spans="1:15" ht="15" customHeight="1">
      <c r="A926" t="s">
        <v>947</v>
      </c>
      <c r="B926" s="1" t="str">
        <f>LEFT(Table1[[#This Row],[Item]], FIND("-", Table1[[#This Row],[Item]]) - 1)</f>
        <v>GX10</v>
      </c>
      <c r="C926" s="1" t="str">
        <f>MID(LEFT(Table1[[#This Row],[Item]], FIND("{token}", SUBSTITUTE(Table1[[#This Row],[Item]], "-", "{token}", 2)) - 1), FIND("-", Table1[[#This Row],[Item]]) + 1, LEN(Table1[[#This Row],[Item]]))</f>
        <v>CXL</v>
      </c>
      <c r="D926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92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926" s="1" cm="1">
        <f t="array" ref="F926">VALUE(INDEX(_xlfn.TEXTSPLIT(Table1[[#This Row],[Item]], "-"), 5))</f>
        <v>1</v>
      </c>
      <c r="G926" s="1" cm="1">
        <f t="array" ref="G926">VALUE(INDEX(_xlfn.TEXTSPLIT(Table1[[#This Row],[Item]], "-"), 6))</f>
        <v>1</v>
      </c>
      <c r="H926" s="1" cm="1">
        <f t="array" ref="H926">VALUE(INDEX(_xlfn.TEXTSPLIT(Table1[[#This Row],[Item]], "-"), 7))</f>
        <v>1</v>
      </c>
      <c r="I92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26" s="1" t="str">
        <f>LEFT(RIGHT(Table1[[#This Row],[Item]],6),1)</f>
        <v>N</v>
      </c>
      <c r="K926" s="1" t="str">
        <f t="shared" si="16"/>
        <v>N</v>
      </c>
      <c r="L926" s="1" t="str">
        <f>RIGHT(Table1[[#This Row],[Item]],2)</f>
        <v>DG</v>
      </c>
      <c r="M926" s="1" t="s">
        <v>33</v>
      </c>
      <c r="N926" s="3" t="s">
        <v>947</v>
      </c>
      <c r="O926" s="1"/>
    </row>
    <row r="927" spans="1:15" ht="15" customHeight="1">
      <c r="A927" t="s">
        <v>948</v>
      </c>
      <c r="B927" s="1" t="str">
        <f>LEFT(Table1[[#This Row],[Item]], FIND("-", Table1[[#This Row],[Item]]) - 1)</f>
        <v>GX14</v>
      </c>
      <c r="C927" s="1" t="str">
        <f>MID(LEFT(Table1[[#This Row],[Item]], FIND("{token}", SUBSTITUTE(Table1[[#This Row],[Item]], "-", "{token}", 2)) - 1), FIND("-", Table1[[#This Row],[Item]]) + 1, LEN(Table1[[#This Row],[Item]]))</f>
        <v>L</v>
      </c>
      <c r="D92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2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27" s="1" cm="1">
        <f t="array" ref="F927">VALUE(INDEX(_xlfn.TEXTSPLIT(Table1[[#This Row],[Item]], "-"), 5))</f>
        <v>1</v>
      </c>
      <c r="G927" s="1" cm="1">
        <f t="array" ref="G927">VALUE(INDEX(_xlfn.TEXTSPLIT(Table1[[#This Row],[Item]], "-"), 6))</f>
        <v>2</v>
      </c>
      <c r="H927" s="1" cm="1">
        <f t="array" ref="H927">VALUE(INDEX(_xlfn.TEXTSPLIT(Table1[[#This Row],[Item]], "-"), 7))</f>
        <v>0</v>
      </c>
      <c r="I92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27" s="1" t="str">
        <f>LEFT(RIGHT(Table1[[#This Row],[Item]],6),1)</f>
        <v>N</v>
      </c>
      <c r="K927" s="1" t="str">
        <f t="shared" si="16"/>
        <v>N</v>
      </c>
      <c r="L927" s="1" t="str">
        <f>RIGHT(Table1[[#This Row],[Item]],2)</f>
        <v>DG</v>
      </c>
      <c r="M927" s="1" t="s">
        <v>33</v>
      </c>
      <c r="N927" s="3" t="s">
        <v>948</v>
      </c>
      <c r="O927" s="1"/>
    </row>
    <row r="928" spans="1:15" ht="15" customHeight="1">
      <c r="A928" t="s">
        <v>949</v>
      </c>
      <c r="B928" s="1" t="str">
        <f>LEFT(Table1[[#This Row],[Item]], FIND("-", Table1[[#This Row],[Item]]) - 1)</f>
        <v>GX10</v>
      </c>
      <c r="C928" s="1" t="str">
        <f>MID(LEFT(Table1[[#This Row],[Item]], FIND("{token}", SUBSTITUTE(Table1[[#This Row],[Item]], "-", "{token}", 2)) - 1), FIND("-", Table1[[#This Row],[Item]]) + 1, LEN(Table1[[#This Row],[Item]]))</f>
        <v>D</v>
      </c>
      <c r="D92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92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928" s="1" cm="1">
        <f t="array" ref="F928">VALUE(INDEX(_xlfn.TEXTSPLIT(Table1[[#This Row],[Item]], "-"), 5))</f>
        <v>0</v>
      </c>
      <c r="G928" s="1" cm="1">
        <f t="array" ref="G928">VALUE(INDEX(_xlfn.TEXTSPLIT(Table1[[#This Row],[Item]], "-"), 6))</f>
        <v>1</v>
      </c>
      <c r="H928" s="1" cm="1">
        <f t="array" ref="H928">VALUE(INDEX(_xlfn.TEXTSPLIT(Table1[[#This Row],[Item]], "-"), 7))</f>
        <v>0</v>
      </c>
      <c r="I92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28" s="1" t="str">
        <f>LEFT(RIGHT(Table1[[#This Row],[Item]],6),1)</f>
        <v>N</v>
      </c>
      <c r="K928" s="1" t="str">
        <f t="shared" si="16"/>
        <v>N</v>
      </c>
      <c r="L928" s="1" t="str">
        <f>RIGHT(Table1[[#This Row],[Item]],2)</f>
        <v>DG</v>
      </c>
      <c r="M928" s="1" t="s">
        <v>33</v>
      </c>
      <c r="N928" s="3" t="s">
        <v>949</v>
      </c>
      <c r="O928" s="1"/>
    </row>
    <row r="929" spans="1:15" ht="15" customHeight="1">
      <c r="A929" t="s">
        <v>950</v>
      </c>
      <c r="B929" s="1" t="str">
        <f>LEFT(Table1[[#This Row],[Item]], FIND("-", Table1[[#This Row],[Item]]) - 1)</f>
        <v>GX09</v>
      </c>
      <c r="C929" s="1" t="str">
        <f>MID(LEFT(Table1[[#This Row],[Item]], FIND("{token}", SUBSTITUTE(Table1[[#This Row],[Item]], "-", "{token}", 2)) - 1), FIND("-", Table1[[#This Row],[Item]]) + 1, LEN(Table1[[#This Row],[Item]]))</f>
        <v>D</v>
      </c>
      <c r="D929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92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929" s="1" cm="1">
        <f t="array" ref="F929">VALUE(INDEX(_xlfn.TEXTSPLIT(Table1[[#This Row],[Item]], "-"), 5))</f>
        <v>0</v>
      </c>
      <c r="G929" s="1" cm="1">
        <f t="array" ref="G929">VALUE(INDEX(_xlfn.TEXTSPLIT(Table1[[#This Row],[Item]], "-"), 6))</f>
        <v>1</v>
      </c>
      <c r="H929" s="1" cm="1">
        <f t="array" ref="H929">VALUE(INDEX(_xlfn.TEXTSPLIT(Table1[[#This Row],[Item]], "-"), 7))</f>
        <v>0</v>
      </c>
      <c r="I92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29" s="1" t="str">
        <f>LEFT(RIGHT(Table1[[#This Row],[Item]],6),1)</f>
        <v>N</v>
      </c>
      <c r="K929" s="1" t="str">
        <f t="shared" si="16"/>
        <v>N</v>
      </c>
      <c r="L929" s="1" t="str">
        <f>RIGHT(Table1[[#This Row],[Item]],2)</f>
        <v>DG</v>
      </c>
      <c r="M929" s="1" t="s">
        <v>33</v>
      </c>
      <c r="N929" s="3" t="s">
        <v>950</v>
      </c>
      <c r="O929" s="1"/>
    </row>
    <row r="930" spans="1:15" ht="15" customHeight="1">
      <c r="A930" t="s">
        <v>951</v>
      </c>
      <c r="B930" s="1" t="str">
        <f>LEFT(Table1[[#This Row],[Item]], FIND("-", Table1[[#This Row],[Item]]) - 1)</f>
        <v>GX10</v>
      </c>
      <c r="C930" s="1" t="str">
        <f>MID(LEFT(Table1[[#This Row],[Item]], FIND("{token}", SUBSTITUTE(Table1[[#This Row],[Item]], "-", "{token}", 2)) - 1), FIND("-", Table1[[#This Row],[Item]]) + 1, LEN(Table1[[#This Row],[Item]]))</f>
        <v>C</v>
      </c>
      <c r="D93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3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30" s="1" cm="1">
        <f t="array" ref="F930">VALUE(INDEX(_xlfn.TEXTSPLIT(Table1[[#This Row],[Item]], "-"), 5))</f>
        <v>2</v>
      </c>
      <c r="G930" s="1" cm="1">
        <f t="array" ref="G930">VALUE(INDEX(_xlfn.TEXTSPLIT(Table1[[#This Row],[Item]], "-"), 6))</f>
        <v>0</v>
      </c>
      <c r="H930" s="1" cm="1">
        <f t="array" ref="H930">VALUE(INDEX(_xlfn.TEXTSPLIT(Table1[[#This Row],[Item]], "-"), 7))</f>
        <v>0</v>
      </c>
      <c r="I93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30" s="1" t="str">
        <f>LEFT(RIGHT(Table1[[#This Row],[Item]],6),1)</f>
        <v>N</v>
      </c>
      <c r="K930" s="1" t="str">
        <f t="shared" si="16"/>
        <v>N</v>
      </c>
      <c r="L930" s="1" t="str">
        <f>RIGHT(Table1[[#This Row],[Item]],2)</f>
        <v>DG</v>
      </c>
      <c r="M930" s="1" t="s">
        <v>33</v>
      </c>
      <c r="N930" s="3" t="s">
        <v>951</v>
      </c>
      <c r="O930" s="1"/>
    </row>
    <row r="931" spans="1:15" ht="15" customHeight="1">
      <c r="A931" t="s">
        <v>952</v>
      </c>
      <c r="B931" s="1" t="str">
        <f>LEFT(Table1[[#This Row],[Item]], FIND("-", Table1[[#This Row],[Item]]) - 1)</f>
        <v>STT9</v>
      </c>
      <c r="C931" s="1" t="str">
        <f>MID(LEFT(Table1[[#This Row],[Item]], FIND("{token}", SUBSTITUTE(Table1[[#This Row],[Item]], "-", "{token}", 2)) - 1), FIND("-", Table1[[#This Row],[Item]]) + 1, LEN(Table1[[#This Row],[Item]]))</f>
        <v>N</v>
      </c>
      <c r="D93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3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31" s="1" cm="1">
        <f t="array" ref="F931">VALUE(INDEX(_xlfn.TEXTSPLIT(Table1[[#This Row],[Item]], "-"), 5))</f>
        <v>0</v>
      </c>
      <c r="G931" s="1" cm="1">
        <f t="array" ref="G931">VALUE(INDEX(_xlfn.TEXTSPLIT(Table1[[#This Row],[Item]], "-"), 6))</f>
        <v>0</v>
      </c>
      <c r="H931" s="1" cm="1">
        <f t="array" ref="H931">VALUE(INDEX(_xlfn.TEXTSPLIT(Table1[[#This Row],[Item]], "-"), 7))</f>
        <v>0</v>
      </c>
      <c r="I931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931" s="1" t="str">
        <f>LEFT(RIGHT(Table1[[#This Row],[Item]],6),1)</f>
        <v>Y</v>
      </c>
      <c r="K931" s="1" t="str">
        <f t="shared" si="16"/>
        <v>N</v>
      </c>
      <c r="L931" s="1" t="str">
        <f>RIGHT(Table1[[#This Row],[Item]],2)</f>
        <v>DG</v>
      </c>
      <c r="M931" s="1" t="s">
        <v>33</v>
      </c>
      <c r="N931" s="3" t="s">
        <v>952</v>
      </c>
      <c r="O931" s="1"/>
    </row>
    <row r="932" spans="1:15" ht="15" customHeight="1">
      <c r="A932" t="s">
        <v>953</v>
      </c>
      <c r="B932" s="1" t="str">
        <f>LEFT(Table1[[#This Row],[Item]], FIND("-", Table1[[#This Row],[Item]]) - 1)</f>
        <v>GX05</v>
      </c>
      <c r="C932" s="1" t="str">
        <f>MID(LEFT(Table1[[#This Row],[Item]], FIND("{token}", SUBSTITUTE(Table1[[#This Row],[Item]], "-", "{token}", 2)) - 1), FIND("-", Table1[[#This Row],[Item]]) + 1, LEN(Table1[[#This Row],[Item]]))</f>
        <v>CXL</v>
      </c>
      <c r="D93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3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32" s="1" cm="1">
        <f t="array" ref="F932">VALUE(INDEX(_xlfn.TEXTSPLIT(Table1[[#This Row],[Item]], "-"), 5))</f>
        <v>0</v>
      </c>
      <c r="G932" s="1" cm="1">
        <f t="array" ref="G932">VALUE(INDEX(_xlfn.TEXTSPLIT(Table1[[#This Row],[Item]], "-"), 6))</f>
        <v>0</v>
      </c>
      <c r="H932" s="1" cm="1">
        <f t="array" ref="H932">VALUE(INDEX(_xlfn.TEXTSPLIT(Table1[[#This Row],[Item]], "-"), 7))</f>
        <v>0</v>
      </c>
      <c r="I93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32" s="1" t="str">
        <f>LEFT(RIGHT(Table1[[#This Row],[Item]],6),1)</f>
        <v>N</v>
      </c>
      <c r="K932" s="1" t="str">
        <f t="shared" si="16"/>
        <v>N</v>
      </c>
      <c r="L932" s="1" t="str">
        <f>RIGHT(Table1[[#This Row],[Item]],2)</f>
        <v>DG</v>
      </c>
      <c r="M932" s="1" t="s">
        <v>33</v>
      </c>
      <c r="N932" s="3" t="s">
        <v>953</v>
      </c>
      <c r="O932" s="1"/>
    </row>
    <row r="933" spans="1:15" ht="15" customHeight="1">
      <c r="A933" t="s">
        <v>954</v>
      </c>
      <c r="B933" s="1" t="str">
        <f>LEFT(Table1[[#This Row],[Item]], FIND("-", Table1[[#This Row],[Item]]) - 1)</f>
        <v>GX05</v>
      </c>
      <c r="C933" s="1" t="str">
        <f>MID(LEFT(Table1[[#This Row],[Item]], FIND("{token}", SUBSTITUTE(Table1[[#This Row],[Item]], "-", "{token}", 2)) - 1), FIND("-", Table1[[#This Row],[Item]]) + 1, LEN(Table1[[#This Row],[Item]]))</f>
        <v>N</v>
      </c>
      <c r="D93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3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933" s="1" cm="1">
        <f t="array" ref="F933">VALUE(INDEX(_xlfn.TEXTSPLIT(Table1[[#This Row],[Item]], "-"), 5))</f>
        <v>1</v>
      </c>
      <c r="G933" s="1" cm="1">
        <f t="array" ref="G933">VALUE(INDEX(_xlfn.TEXTSPLIT(Table1[[#This Row],[Item]], "-"), 6))</f>
        <v>1</v>
      </c>
      <c r="H933" s="1" cm="1">
        <f t="array" ref="H933">VALUE(INDEX(_xlfn.TEXTSPLIT(Table1[[#This Row],[Item]], "-"), 7))</f>
        <v>0</v>
      </c>
      <c r="I93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33" s="1" t="str">
        <f>LEFT(RIGHT(Table1[[#This Row],[Item]],6),1)</f>
        <v>N</v>
      </c>
      <c r="K933" s="1" t="str">
        <f t="shared" si="16"/>
        <v>N</v>
      </c>
      <c r="L933" s="1" t="str">
        <f>RIGHT(Table1[[#This Row],[Item]],2)</f>
        <v>DG</v>
      </c>
      <c r="M933" s="1" t="s">
        <v>33</v>
      </c>
      <c r="N933" s="3" t="s">
        <v>954</v>
      </c>
      <c r="O933" s="1"/>
    </row>
    <row r="934" spans="1:15" ht="15" customHeight="1">
      <c r="A934" t="s">
        <v>955</v>
      </c>
      <c r="B934" s="1" t="str">
        <f>LEFT(Table1[[#This Row],[Item]], FIND("-", Table1[[#This Row],[Item]]) - 1)</f>
        <v>MA12</v>
      </c>
      <c r="C934" s="1" t="str">
        <f>MID(LEFT(Table1[[#This Row],[Item]], FIND("{token}", SUBSTITUTE(Table1[[#This Row],[Item]], "-", "{token}", 2)) - 1), FIND("-", Table1[[#This Row],[Item]]) + 1, LEN(Table1[[#This Row],[Item]]))</f>
        <v>C</v>
      </c>
      <c r="D93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3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934" s="1" cm="1">
        <f t="array" ref="F934">VALUE(INDEX(_xlfn.TEXTSPLIT(Table1[[#This Row],[Item]], "-"), 5))</f>
        <v>2</v>
      </c>
      <c r="G934" s="1" cm="1">
        <f t="array" ref="G934">VALUE(INDEX(_xlfn.TEXTSPLIT(Table1[[#This Row],[Item]], "-"), 6))</f>
        <v>0</v>
      </c>
      <c r="H934" s="1" cm="1">
        <f t="array" ref="H934">VALUE(INDEX(_xlfn.TEXTSPLIT(Table1[[#This Row],[Item]], "-"), 7))</f>
        <v>0</v>
      </c>
      <c r="I934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934" s="1" t="str">
        <f>LEFT(RIGHT(Table1[[#This Row],[Item]],6),1)</f>
        <v>Y</v>
      </c>
      <c r="K934" s="1" t="str">
        <f t="shared" si="16"/>
        <v>Y</v>
      </c>
      <c r="L934" s="1" t="str">
        <f>RIGHT(Table1[[#This Row],[Item]],2)</f>
        <v>DG</v>
      </c>
      <c r="M934" s="1" t="s">
        <v>33</v>
      </c>
      <c r="N934" s="3" t="s">
        <v>955</v>
      </c>
      <c r="O934" s="1"/>
    </row>
    <row r="935" spans="1:15" ht="15" customHeight="1">
      <c r="A935" t="s">
        <v>956</v>
      </c>
      <c r="B935" s="1" t="str">
        <f>LEFT(Table1[[#This Row],[Item]], FIND("-", Table1[[#This Row],[Item]]) - 1)</f>
        <v>STT7</v>
      </c>
      <c r="C935" s="1" t="str">
        <f>MID(LEFT(Table1[[#This Row],[Item]], FIND("{token}", SUBSTITUTE(Table1[[#This Row],[Item]], "-", "{token}", 2)) - 1), FIND("-", Table1[[#This Row],[Item]]) + 1, LEN(Table1[[#This Row],[Item]]))</f>
        <v>N</v>
      </c>
      <c r="D93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3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35" s="1" cm="1">
        <f t="array" ref="F935">VALUE(INDEX(_xlfn.TEXTSPLIT(Table1[[#This Row],[Item]], "-"), 5))</f>
        <v>0</v>
      </c>
      <c r="G935" s="1" cm="1">
        <f t="array" ref="G935">VALUE(INDEX(_xlfn.TEXTSPLIT(Table1[[#This Row],[Item]], "-"), 6))</f>
        <v>0</v>
      </c>
      <c r="H935" s="1" cm="1">
        <f t="array" ref="H935">VALUE(INDEX(_xlfn.TEXTSPLIT(Table1[[#This Row],[Item]], "-"), 7))</f>
        <v>0</v>
      </c>
      <c r="I93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35" s="1" t="str">
        <f>LEFT(RIGHT(Table1[[#This Row],[Item]],6),1)</f>
        <v>Y</v>
      </c>
      <c r="K935" s="1" t="str">
        <f t="shared" si="16"/>
        <v>Y</v>
      </c>
      <c r="L935" s="1" t="str">
        <f>RIGHT(Table1[[#This Row],[Item]],2)</f>
        <v>DG</v>
      </c>
      <c r="M935" s="1" t="s">
        <v>33</v>
      </c>
      <c r="N935" s="3" t="s">
        <v>956</v>
      </c>
      <c r="O935" s="1"/>
    </row>
    <row r="936" spans="1:15" ht="15" customHeight="1">
      <c r="A936" t="s">
        <v>957</v>
      </c>
      <c r="B936" s="1" t="str">
        <f>LEFT(Table1[[#This Row],[Item]], FIND("-", Table1[[#This Row],[Item]]) - 1)</f>
        <v>GX09</v>
      </c>
      <c r="C936" s="1" t="str">
        <f>MID(LEFT(Table1[[#This Row],[Item]], FIND("{token}", SUBSTITUTE(Table1[[#This Row],[Item]], "-", "{token}", 2)) - 1), FIND("-", Table1[[#This Row],[Item]]) + 1, LEN(Table1[[#This Row],[Item]]))</f>
        <v>R</v>
      </c>
      <c r="D936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93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36" s="1" cm="1">
        <f t="array" ref="F936">VALUE(INDEX(_xlfn.TEXTSPLIT(Table1[[#This Row],[Item]], "-"), 5))</f>
        <v>0</v>
      </c>
      <c r="G936" s="1" cm="1">
        <f t="array" ref="G936">VALUE(INDEX(_xlfn.TEXTSPLIT(Table1[[#This Row],[Item]], "-"), 6))</f>
        <v>2</v>
      </c>
      <c r="H936" s="1" cm="1">
        <f t="array" ref="H936">VALUE(INDEX(_xlfn.TEXTSPLIT(Table1[[#This Row],[Item]], "-"), 7))</f>
        <v>0</v>
      </c>
      <c r="I93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36" s="1" t="str">
        <f>LEFT(RIGHT(Table1[[#This Row],[Item]],6),1)</f>
        <v>N</v>
      </c>
      <c r="K936" s="1" t="str">
        <f t="shared" si="16"/>
        <v>N</v>
      </c>
      <c r="L936" s="1" t="str">
        <f>RIGHT(Table1[[#This Row],[Item]],2)</f>
        <v>DG</v>
      </c>
      <c r="M936" s="1" t="s">
        <v>33</v>
      </c>
      <c r="N936" s="3" t="s">
        <v>957</v>
      </c>
      <c r="O936" s="1"/>
    </row>
    <row r="937" spans="1:15" ht="15" customHeight="1">
      <c r="A937" t="s">
        <v>958</v>
      </c>
      <c r="B937" s="1" t="str">
        <f>LEFT(Table1[[#This Row],[Item]], FIND("-", Table1[[#This Row],[Item]]) - 1)</f>
        <v>GX05</v>
      </c>
      <c r="C937" s="1" t="str">
        <f>MID(LEFT(Table1[[#This Row],[Item]], FIND("{token}", SUBSTITUTE(Table1[[#This Row],[Item]], "-", "{token}", 2)) - 1), FIND("-", Table1[[#This Row],[Item]]) + 1, LEN(Table1[[#This Row],[Item]]))</f>
        <v>R</v>
      </c>
      <c r="D93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93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37" s="1" cm="1">
        <f t="array" ref="F937">VALUE(INDEX(_xlfn.TEXTSPLIT(Table1[[#This Row],[Item]], "-"), 5))</f>
        <v>0</v>
      </c>
      <c r="G937" s="1" cm="1">
        <f t="array" ref="G937">VALUE(INDEX(_xlfn.TEXTSPLIT(Table1[[#This Row],[Item]], "-"), 6))</f>
        <v>0</v>
      </c>
      <c r="H937" s="1" cm="1">
        <f t="array" ref="H937">VALUE(INDEX(_xlfn.TEXTSPLIT(Table1[[#This Row],[Item]], "-"), 7))</f>
        <v>0</v>
      </c>
      <c r="I93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37" s="1" t="str">
        <f>LEFT(RIGHT(Table1[[#This Row],[Item]],6),1)</f>
        <v>N</v>
      </c>
      <c r="K937" s="1" t="str">
        <f t="shared" si="16"/>
        <v>N</v>
      </c>
      <c r="L937" s="1" t="str">
        <f>RIGHT(Table1[[#This Row],[Item]],2)</f>
        <v>DG</v>
      </c>
      <c r="M937" s="1" t="s">
        <v>33</v>
      </c>
      <c r="N937" s="3" t="s">
        <v>958</v>
      </c>
      <c r="O937" s="1"/>
    </row>
    <row r="938" spans="1:15" ht="15" customHeight="1">
      <c r="A938" t="s">
        <v>959</v>
      </c>
      <c r="B938" s="1" t="str">
        <f>LEFT(Table1[[#This Row],[Item]], FIND("-", Table1[[#This Row],[Item]]) - 1)</f>
        <v>GX09</v>
      </c>
      <c r="C938" s="1" t="str">
        <f>MID(LEFT(Table1[[#This Row],[Item]], FIND("{token}", SUBSTITUTE(Table1[[#This Row],[Item]], "-", "{token}", 2)) - 1), FIND("-", Table1[[#This Row],[Item]]) + 1, LEN(Table1[[#This Row],[Item]]))</f>
        <v>L</v>
      </c>
      <c r="D93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3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38" s="1" cm="1">
        <f t="array" ref="F938">VALUE(INDEX(_xlfn.TEXTSPLIT(Table1[[#This Row],[Item]], "-"), 5))</f>
        <v>1</v>
      </c>
      <c r="G938" s="1" cm="1">
        <f t="array" ref="G938">VALUE(INDEX(_xlfn.TEXTSPLIT(Table1[[#This Row],[Item]], "-"), 6))</f>
        <v>1</v>
      </c>
      <c r="H938" s="1" cm="1">
        <f t="array" ref="H938">VALUE(INDEX(_xlfn.TEXTSPLIT(Table1[[#This Row],[Item]], "-"), 7))</f>
        <v>0</v>
      </c>
      <c r="I93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38" s="1" t="str">
        <f>LEFT(RIGHT(Table1[[#This Row],[Item]],6),1)</f>
        <v>N</v>
      </c>
      <c r="K938" s="1" t="str">
        <f t="shared" si="16"/>
        <v>N</v>
      </c>
      <c r="L938" s="1" t="str">
        <f>RIGHT(Table1[[#This Row],[Item]],2)</f>
        <v>DG</v>
      </c>
      <c r="M938" s="1" t="s">
        <v>33</v>
      </c>
      <c r="N938" s="3" t="s">
        <v>959</v>
      </c>
      <c r="O938" s="1"/>
    </row>
    <row r="939" spans="1:15" ht="15" customHeight="1">
      <c r="A939" t="s">
        <v>960</v>
      </c>
      <c r="B939" s="1" t="str">
        <f>LEFT(Table1[[#This Row],[Item]], FIND("-", Table1[[#This Row],[Item]]) - 1)</f>
        <v>GX09</v>
      </c>
      <c r="C939" s="1" t="str">
        <f>MID(LEFT(Table1[[#This Row],[Item]], FIND("{token}", SUBSTITUTE(Table1[[#This Row],[Item]], "-", "{token}", 2)) - 1), FIND("-", Table1[[#This Row],[Item]]) + 1, LEN(Table1[[#This Row],[Item]]))</f>
        <v>R</v>
      </c>
      <c r="D939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93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39" s="1" cm="1">
        <f t="array" ref="F939">VALUE(INDEX(_xlfn.TEXTSPLIT(Table1[[#This Row],[Item]], "-"), 5))</f>
        <v>1</v>
      </c>
      <c r="G939" s="1" cm="1">
        <f t="array" ref="G939">VALUE(INDEX(_xlfn.TEXTSPLIT(Table1[[#This Row],[Item]], "-"), 6))</f>
        <v>1</v>
      </c>
      <c r="H939" s="1" cm="1">
        <f t="array" ref="H939">VALUE(INDEX(_xlfn.TEXTSPLIT(Table1[[#This Row],[Item]], "-"), 7))</f>
        <v>0</v>
      </c>
      <c r="I93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39" s="1" t="str">
        <f>LEFT(RIGHT(Table1[[#This Row],[Item]],6),1)</f>
        <v>N</v>
      </c>
      <c r="K939" s="1" t="str">
        <f t="shared" si="16"/>
        <v>N</v>
      </c>
      <c r="L939" s="1" t="str">
        <f>RIGHT(Table1[[#This Row],[Item]],2)</f>
        <v>DG</v>
      </c>
      <c r="M939" s="1" t="s">
        <v>33</v>
      </c>
      <c r="N939" s="3" t="s">
        <v>960</v>
      </c>
      <c r="O939" s="1"/>
    </row>
    <row r="940" spans="1:15" ht="15" customHeight="1">
      <c r="A940" t="s">
        <v>961</v>
      </c>
      <c r="B940" s="1" t="str">
        <f>LEFT(Table1[[#This Row],[Item]], FIND("-", Table1[[#This Row],[Item]]) - 1)</f>
        <v>GX09</v>
      </c>
      <c r="C940" s="1" t="str">
        <f>MID(LEFT(Table1[[#This Row],[Item]], FIND("{token}", SUBSTITUTE(Table1[[#This Row],[Item]], "-", "{token}", 2)) - 1), FIND("-", Table1[[#This Row],[Item]]) + 1, LEN(Table1[[#This Row],[Item]]))</f>
        <v>C</v>
      </c>
      <c r="D940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4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40" s="1" cm="1">
        <f t="array" ref="F940">VALUE(INDEX(_xlfn.TEXTSPLIT(Table1[[#This Row],[Item]], "-"), 5))</f>
        <v>1</v>
      </c>
      <c r="G940" s="1" cm="1">
        <f t="array" ref="G940">VALUE(INDEX(_xlfn.TEXTSPLIT(Table1[[#This Row],[Item]], "-"), 6))</f>
        <v>1</v>
      </c>
      <c r="H940" s="1" cm="1">
        <f t="array" ref="H940">VALUE(INDEX(_xlfn.TEXTSPLIT(Table1[[#This Row],[Item]], "-"), 7))</f>
        <v>0</v>
      </c>
      <c r="I94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40" s="1" t="str">
        <f>LEFT(RIGHT(Table1[[#This Row],[Item]],6),1)</f>
        <v>N</v>
      </c>
      <c r="K940" s="1" t="str">
        <f t="shared" si="16"/>
        <v>N</v>
      </c>
      <c r="L940" s="1" t="str">
        <f>RIGHT(Table1[[#This Row],[Item]],2)</f>
        <v>DG</v>
      </c>
      <c r="M940" s="1" t="s">
        <v>33</v>
      </c>
      <c r="N940" s="3" t="s">
        <v>961</v>
      </c>
      <c r="O940" s="1"/>
    </row>
    <row r="941" spans="1:15" ht="15" customHeight="1">
      <c r="A941" t="s">
        <v>962</v>
      </c>
      <c r="B941" s="1" t="str">
        <f>LEFT(Table1[[#This Row],[Item]], FIND("-", Table1[[#This Row],[Item]]) - 1)</f>
        <v>GX10</v>
      </c>
      <c r="C941" s="1" t="str">
        <f>MID(LEFT(Table1[[#This Row],[Item]], FIND("{token}", SUBSTITUTE(Table1[[#This Row],[Item]], "-", "{token}", 2)) - 1), FIND("-", Table1[[#This Row],[Item]]) + 1, LEN(Table1[[#This Row],[Item]]))</f>
        <v>L</v>
      </c>
      <c r="D94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4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41" s="1" cm="1">
        <f t="array" ref="F941">VALUE(INDEX(_xlfn.TEXTSPLIT(Table1[[#This Row],[Item]], "-"), 5))</f>
        <v>1</v>
      </c>
      <c r="G941" s="1" cm="1">
        <f t="array" ref="G941">VALUE(INDEX(_xlfn.TEXTSPLIT(Table1[[#This Row],[Item]], "-"), 6))</f>
        <v>1</v>
      </c>
      <c r="H941" s="1" cm="1">
        <f t="array" ref="H941">VALUE(INDEX(_xlfn.TEXTSPLIT(Table1[[#This Row],[Item]], "-"), 7))</f>
        <v>0</v>
      </c>
      <c r="I94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41" s="1" t="str">
        <f>LEFT(RIGHT(Table1[[#This Row],[Item]],6),1)</f>
        <v>N</v>
      </c>
      <c r="K941" s="1" t="str">
        <f t="shared" si="16"/>
        <v>N</v>
      </c>
      <c r="L941" s="1" t="str">
        <f>RIGHT(Table1[[#This Row],[Item]],2)</f>
        <v>DG</v>
      </c>
      <c r="M941" s="1" t="s">
        <v>33</v>
      </c>
      <c r="N941" s="3" t="s">
        <v>962</v>
      </c>
      <c r="O941" s="1"/>
    </row>
    <row r="942" spans="1:15" ht="15" customHeight="1">
      <c r="A942" t="s">
        <v>963</v>
      </c>
      <c r="B942" s="1" t="str">
        <f>LEFT(Table1[[#This Row],[Item]], FIND("-", Table1[[#This Row],[Item]]) - 1)</f>
        <v>GX14</v>
      </c>
      <c r="C942" s="1" t="str">
        <f>MID(LEFT(Table1[[#This Row],[Item]], FIND("{token}", SUBSTITUTE(Table1[[#This Row],[Item]], "-", "{token}", 2)) - 1), FIND("-", Table1[[#This Row],[Item]]) + 1, LEN(Table1[[#This Row],[Item]]))</f>
        <v>R</v>
      </c>
      <c r="D942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94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42" s="1" cm="1">
        <f t="array" ref="F942">VALUE(INDEX(_xlfn.TEXTSPLIT(Table1[[#This Row],[Item]], "-"), 5))</f>
        <v>2</v>
      </c>
      <c r="G942" s="1" cm="1">
        <f t="array" ref="G942">VALUE(INDEX(_xlfn.TEXTSPLIT(Table1[[#This Row],[Item]], "-"), 6))</f>
        <v>2</v>
      </c>
      <c r="H942" s="1" cm="1">
        <f t="array" ref="H942">VALUE(INDEX(_xlfn.TEXTSPLIT(Table1[[#This Row],[Item]], "-"), 7))</f>
        <v>0</v>
      </c>
      <c r="I94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42" s="1" t="str">
        <f>LEFT(RIGHT(Table1[[#This Row],[Item]],6),1)</f>
        <v>N</v>
      </c>
      <c r="K942" s="1" t="str">
        <f t="shared" si="16"/>
        <v>N</v>
      </c>
      <c r="L942" s="1" t="str">
        <f>RIGHT(Table1[[#This Row],[Item]],2)</f>
        <v>DG</v>
      </c>
      <c r="M942" s="1" t="s">
        <v>33</v>
      </c>
      <c r="N942" s="3" t="s">
        <v>963</v>
      </c>
      <c r="O942" s="1"/>
    </row>
    <row r="943" spans="1:15" ht="15" customHeight="1">
      <c r="A943" t="s">
        <v>964</v>
      </c>
      <c r="B943" s="1" t="str">
        <f>LEFT(Table1[[#This Row],[Item]], FIND("-", Table1[[#This Row],[Item]]) - 1)</f>
        <v>GX09</v>
      </c>
      <c r="C943" s="1" t="str">
        <f>MID(LEFT(Table1[[#This Row],[Item]], FIND("{token}", SUBSTITUTE(Table1[[#This Row],[Item]], "-", "{token}", 2)) - 1), FIND("-", Table1[[#This Row],[Item]]) + 1, LEN(Table1[[#This Row],[Item]]))</f>
        <v>C</v>
      </c>
      <c r="D94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4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43" s="1" cm="1">
        <f t="array" ref="F943">VALUE(INDEX(_xlfn.TEXTSPLIT(Table1[[#This Row],[Item]], "-"), 5))</f>
        <v>1</v>
      </c>
      <c r="G943" s="1" cm="1">
        <f t="array" ref="G943">VALUE(INDEX(_xlfn.TEXTSPLIT(Table1[[#This Row],[Item]], "-"), 6))</f>
        <v>1</v>
      </c>
      <c r="H943" s="1" cm="1">
        <f t="array" ref="H943">VALUE(INDEX(_xlfn.TEXTSPLIT(Table1[[#This Row],[Item]], "-"), 7))</f>
        <v>0</v>
      </c>
      <c r="I94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43" s="1" t="str">
        <f>LEFT(RIGHT(Table1[[#This Row],[Item]],6),1)</f>
        <v>N</v>
      </c>
      <c r="K943" s="1" t="str">
        <f t="shared" si="16"/>
        <v>N</v>
      </c>
      <c r="L943" s="1" t="str">
        <f>RIGHT(Table1[[#This Row],[Item]],2)</f>
        <v>DG</v>
      </c>
      <c r="M943" s="1" t="s">
        <v>33</v>
      </c>
      <c r="N943" s="3" t="s">
        <v>964</v>
      </c>
      <c r="O943" s="1"/>
    </row>
    <row r="944" spans="1:15" ht="15" customHeight="1">
      <c r="A944" t="s">
        <v>965</v>
      </c>
      <c r="B944" s="1" t="str">
        <f>LEFT(Table1[[#This Row],[Item]], FIND("-", Table1[[#This Row],[Item]]) - 1)</f>
        <v>ARB8</v>
      </c>
      <c r="C944" s="1" t="str">
        <f>MID(LEFT(Table1[[#This Row],[Item]], FIND("{token}", SUBSTITUTE(Table1[[#This Row],[Item]], "-", "{token}", 2)) - 1), FIND("-", Table1[[#This Row],[Item]]) + 1, LEN(Table1[[#This Row],[Item]]))</f>
        <v>R</v>
      </c>
      <c r="D94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4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44" s="1" cm="1">
        <f t="array" ref="F944">VALUE(INDEX(_xlfn.TEXTSPLIT(Table1[[#This Row],[Item]], "-"), 5))</f>
        <v>1</v>
      </c>
      <c r="G944" s="1" cm="1">
        <f t="array" ref="G944">VALUE(INDEX(_xlfn.TEXTSPLIT(Table1[[#This Row],[Item]], "-"), 6))</f>
        <v>0</v>
      </c>
      <c r="H944" s="1" cm="1">
        <f t="array" ref="H944">VALUE(INDEX(_xlfn.TEXTSPLIT(Table1[[#This Row],[Item]], "-"), 7))</f>
        <v>0</v>
      </c>
      <c r="I944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944" s="1" t="str">
        <f>LEFT(RIGHT(Table1[[#This Row],[Item]],6),1)</f>
        <v>Y</v>
      </c>
      <c r="K944" s="1" t="str">
        <f t="shared" si="16"/>
        <v>N</v>
      </c>
      <c r="L944" s="1" t="str">
        <f>RIGHT(Table1[[#This Row],[Item]],2)</f>
        <v>DG</v>
      </c>
      <c r="M944" s="1" t="s">
        <v>33</v>
      </c>
      <c r="N944" s="3" t="s">
        <v>965</v>
      </c>
      <c r="O944" s="1"/>
    </row>
    <row r="945" spans="1:15" ht="15" customHeight="1">
      <c r="A945" t="s">
        <v>966</v>
      </c>
      <c r="B945" s="1" t="str">
        <f>LEFT(Table1[[#This Row],[Item]], FIND("-", Table1[[#This Row],[Item]]) - 1)</f>
        <v>GX06</v>
      </c>
      <c r="C945" s="1" t="str">
        <f>MID(LEFT(Table1[[#This Row],[Item]], FIND("{token}", SUBSTITUTE(Table1[[#This Row],[Item]], "-", "{token}", 2)) - 1), FIND("-", Table1[[#This Row],[Item]]) + 1, LEN(Table1[[#This Row],[Item]]))</f>
        <v>R</v>
      </c>
      <c r="D945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94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45" s="1" cm="1">
        <f t="array" ref="F945">VALUE(INDEX(_xlfn.TEXTSPLIT(Table1[[#This Row],[Item]], "-"), 5))</f>
        <v>0</v>
      </c>
      <c r="G945" s="1" cm="1">
        <f t="array" ref="G945">VALUE(INDEX(_xlfn.TEXTSPLIT(Table1[[#This Row],[Item]], "-"), 6))</f>
        <v>0</v>
      </c>
      <c r="H945" s="1" cm="1">
        <f t="array" ref="H945">VALUE(INDEX(_xlfn.TEXTSPLIT(Table1[[#This Row],[Item]], "-"), 7))</f>
        <v>0</v>
      </c>
      <c r="I94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45" s="1" t="str">
        <f>LEFT(RIGHT(Table1[[#This Row],[Item]],6),1)</f>
        <v>N</v>
      </c>
      <c r="K945" s="1" t="str">
        <f t="shared" si="16"/>
        <v>N</v>
      </c>
      <c r="L945" s="1" t="str">
        <f>RIGHT(Table1[[#This Row],[Item]],2)</f>
        <v>DG</v>
      </c>
      <c r="M945" s="1" t="s">
        <v>33</v>
      </c>
      <c r="N945" s="3" t="s">
        <v>966</v>
      </c>
      <c r="O945" s="1"/>
    </row>
    <row r="946" spans="1:15" ht="15" customHeight="1">
      <c r="A946" t="s">
        <v>967</v>
      </c>
      <c r="B946" s="1" t="str">
        <f>LEFT(Table1[[#This Row],[Item]], FIND("-", Table1[[#This Row],[Item]]) - 1)</f>
        <v>GX09</v>
      </c>
      <c r="C946" s="1" t="str">
        <f>MID(LEFT(Table1[[#This Row],[Item]], FIND("{token}", SUBSTITUTE(Table1[[#This Row],[Item]], "-", "{token}", 2)) - 1), FIND("-", Table1[[#This Row],[Item]]) + 1, LEN(Table1[[#This Row],[Item]]))</f>
        <v>R</v>
      </c>
      <c r="D946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94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46" s="1" cm="1">
        <f t="array" ref="F946">VALUE(INDEX(_xlfn.TEXTSPLIT(Table1[[#This Row],[Item]], "-"), 5))</f>
        <v>1</v>
      </c>
      <c r="G946" s="1" cm="1">
        <f t="array" ref="G946">VALUE(INDEX(_xlfn.TEXTSPLIT(Table1[[#This Row],[Item]], "-"), 6))</f>
        <v>0</v>
      </c>
      <c r="H946" s="1" cm="1">
        <f t="array" ref="H946">VALUE(INDEX(_xlfn.TEXTSPLIT(Table1[[#This Row],[Item]], "-"), 7))</f>
        <v>0</v>
      </c>
      <c r="I94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46" s="1" t="str">
        <f>LEFT(RIGHT(Table1[[#This Row],[Item]],6),1)</f>
        <v>N</v>
      </c>
      <c r="K946" s="1" t="str">
        <f t="shared" si="16"/>
        <v>N</v>
      </c>
      <c r="L946" s="1" t="str">
        <f>RIGHT(Table1[[#This Row],[Item]],2)</f>
        <v>DG</v>
      </c>
      <c r="M946" s="1" t="s">
        <v>33</v>
      </c>
      <c r="N946" s="3" t="s">
        <v>967</v>
      </c>
      <c r="O946" s="1"/>
    </row>
    <row r="947" spans="1:15" ht="15" customHeight="1">
      <c r="A947" t="s">
        <v>968</v>
      </c>
      <c r="B947" s="1" t="str">
        <f>LEFT(Table1[[#This Row],[Item]], FIND("-", Table1[[#This Row],[Item]]) - 1)</f>
        <v>GX09</v>
      </c>
      <c r="C947" s="1" t="str">
        <f>MID(LEFT(Table1[[#This Row],[Item]], FIND("{token}", SUBSTITUTE(Table1[[#This Row],[Item]], "-", "{token}", 2)) - 1), FIND("-", Table1[[#This Row],[Item]]) + 1, LEN(Table1[[#This Row],[Item]]))</f>
        <v>RXL</v>
      </c>
      <c r="D947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94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47" s="1" cm="1">
        <f t="array" ref="F947">VALUE(INDEX(_xlfn.TEXTSPLIT(Table1[[#This Row],[Item]], "-"), 5))</f>
        <v>1</v>
      </c>
      <c r="G947" s="1" cm="1">
        <f t="array" ref="G947">VALUE(INDEX(_xlfn.TEXTSPLIT(Table1[[#This Row],[Item]], "-"), 6))</f>
        <v>0</v>
      </c>
      <c r="H947" s="1" cm="1">
        <f t="array" ref="H947">VALUE(INDEX(_xlfn.TEXTSPLIT(Table1[[#This Row],[Item]], "-"), 7))</f>
        <v>0</v>
      </c>
      <c r="I94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47" s="1" t="str">
        <f>LEFT(RIGHT(Table1[[#This Row],[Item]],6),1)</f>
        <v>N</v>
      </c>
      <c r="K947" s="1" t="str">
        <f t="shared" si="16"/>
        <v>N</v>
      </c>
      <c r="L947" s="1" t="str">
        <f>RIGHT(Table1[[#This Row],[Item]],2)</f>
        <v>DG</v>
      </c>
      <c r="M947" s="1" t="s">
        <v>33</v>
      </c>
      <c r="N947" t="s">
        <v>968</v>
      </c>
      <c r="O947" s="1"/>
    </row>
    <row r="948" spans="1:15" ht="15" customHeight="1">
      <c r="A948" t="s">
        <v>969</v>
      </c>
      <c r="B948" s="1" t="str">
        <f>LEFT(Table1[[#This Row],[Item]], FIND("-", Table1[[#This Row],[Item]]) - 1)</f>
        <v>GX09</v>
      </c>
      <c r="C948" s="1" t="str">
        <f>MID(LEFT(Table1[[#This Row],[Item]], FIND("{token}", SUBSTITUTE(Table1[[#This Row],[Item]], "-", "{token}", 2)) - 1), FIND("-", Table1[[#This Row],[Item]]) + 1, LEN(Table1[[#This Row],[Item]]))</f>
        <v>L</v>
      </c>
      <c r="D948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4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48" s="1" cm="1">
        <f t="array" ref="F948">VALUE(INDEX(_xlfn.TEXTSPLIT(Table1[[#This Row],[Item]], "-"), 5))</f>
        <v>1</v>
      </c>
      <c r="G948" s="1" cm="1">
        <f t="array" ref="G948">VALUE(INDEX(_xlfn.TEXTSPLIT(Table1[[#This Row],[Item]], "-"), 6))</f>
        <v>1</v>
      </c>
      <c r="H948" s="1" cm="1">
        <f t="array" ref="H948">VALUE(INDEX(_xlfn.TEXTSPLIT(Table1[[#This Row],[Item]], "-"), 7))</f>
        <v>0</v>
      </c>
      <c r="I94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48" s="1" t="str">
        <f>LEFT(RIGHT(Table1[[#This Row],[Item]],6),1)</f>
        <v>N</v>
      </c>
      <c r="K948" s="1" t="str">
        <f t="shared" si="16"/>
        <v>N</v>
      </c>
      <c r="L948" s="1" t="str">
        <f>RIGHT(Table1[[#This Row],[Item]],2)</f>
        <v>DG</v>
      </c>
      <c r="M948" s="1" t="s">
        <v>33</v>
      </c>
      <c r="N948" s="3" t="s">
        <v>969</v>
      </c>
      <c r="O948" s="1"/>
    </row>
    <row r="949" spans="1:15" ht="15" customHeight="1">
      <c r="A949" t="s">
        <v>970</v>
      </c>
      <c r="B949" s="1" t="str">
        <f>LEFT(Table1[[#This Row],[Item]], FIND("-", Table1[[#This Row],[Item]]) - 1)</f>
        <v>MA10</v>
      </c>
      <c r="C949" s="1" t="str">
        <f>MID(LEFT(Table1[[#This Row],[Item]], FIND("{token}", SUBSTITUTE(Table1[[#This Row],[Item]], "-", "{token}", 2)) - 1), FIND("-", Table1[[#This Row],[Item]]) + 1, LEN(Table1[[#This Row],[Item]]))</f>
        <v>N</v>
      </c>
      <c r="D94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4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949" s="1" cm="1">
        <f t="array" ref="F949">VALUE(INDEX(_xlfn.TEXTSPLIT(Table1[[#This Row],[Item]], "-"), 5))</f>
        <v>2</v>
      </c>
      <c r="G949" s="1" cm="1">
        <f t="array" ref="G949">VALUE(INDEX(_xlfn.TEXTSPLIT(Table1[[#This Row],[Item]], "-"), 6))</f>
        <v>0</v>
      </c>
      <c r="H949" s="1" cm="1">
        <f t="array" ref="H949">VALUE(INDEX(_xlfn.TEXTSPLIT(Table1[[#This Row],[Item]], "-"), 7))</f>
        <v>0</v>
      </c>
      <c r="I949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949" s="1" t="str">
        <f>LEFT(RIGHT(Table1[[#This Row],[Item]],6),1)</f>
        <v>Y</v>
      </c>
      <c r="K949" s="1" t="str">
        <f t="shared" si="16"/>
        <v>N</v>
      </c>
      <c r="L949" s="1" t="str">
        <f>RIGHT(Table1[[#This Row],[Item]],2)</f>
        <v>DG</v>
      </c>
      <c r="M949" s="1" t="s">
        <v>33</v>
      </c>
      <c r="N949" s="3" t="s">
        <v>970</v>
      </c>
      <c r="O949" s="1"/>
    </row>
    <row r="950" spans="1:15" ht="15" customHeight="1">
      <c r="A950" t="s">
        <v>971</v>
      </c>
      <c r="B950" s="1" t="str">
        <f>LEFT(Table1[[#This Row],[Item]], FIND("-", Table1[[#This Row],[Item]]) - 1)</f>
        <v>GX10</v>
      </c>
      <c r="C950" s="1" t="str">
        <f>MID(LEFT(Table1[[#This Row],[Item]], FIND("{token}", SUBSTITUTE(Table1[[#This Row],[Item]], "-", "{token}", 2)) - 1), FIND("-", Table1[[#This Row],[Item]]) + 1, LEN(Table1[[#This Row],[Item]]))</f>
        <v>RXL</v>
      </c>
      <c r="D95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95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50" s="1" cm="1">
        <f t="array" ref="F950">VALUE(INDEX(_xlfn.TEXTSPLIT(Table1[[#This Row],[Item]], "-"), 5))</f>
        <v>1</v>
      </c>
      <c r="G950" s="1" cm="1">
        <f t="array" ref="G950">VALUE(INDEX(_xlfn.TEXTSPLIT(Table1[[#This Row],[Item]], "-"), 6))</f>
        <v>0</v>
      </c>
      <c r="H950" s="1" cm="1">
        <f t="array" ref="H950">VALUE(INDEX(_xlfn.TEXTSPLIT(Table1[[#This Row],[Item]], "-"), 7))</f>
        <v>0</v>
      </c>
      <c r="I95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50" s="1" t="str">
        <f>LEFT(RIGHT(Table1[[#This Row],[Item]],6),1)</f>
        <v>N</v>
      </c>
      <c r="K950" s="1" t="str">
        <f t="shared" si="16"/>
        <v>N</v>
      </c>
      <c r="L950" s="1" t="str">
        <f>RIGHT(Table1[[#This Row],[Item]],2)</f>
        <v>DG</v>
      </c>
      <c r="M950" s="1" t="s">
        <v>33</v>
      </c>
      <c r="N950" s="3" t="s">
        <v>971</v>
      </c>
      <c r="O950" s="1"/>
    </row>
    <row r="951" spans="1:15" ht="15" customHeight="1">
      <c r="A951" t="s">
        <v>972</v>
      </c>
      <c r="B951" s="1" t="str">
        <f>LEFT(Table1[[#This Row],[Item]], FIND("-", Table1[[#This Row],[Item]]) - 1)</f>
        <v>GX12</v>
      </c>
      <c r="C951" s="1" t="str">
        <f>MID(LEFT(Table1[[#This Row],[Item]], FIND("{token}", SUBSTITUTE(Table1[[#This Row],[Item]], "-", "{token}", 2)) - 1), FIND("-", Table1[[#This Row],[Item]]) + 1, LEN(Table1[[#This Row],[Item]]))</f>
        <v>C</v>
      </c>
      <c r="D951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5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951" s="1" cm="1">
        <f t="array" ref="F951">VALUE(INDEX(_xlfn.TEXTSPLIT(Table1[[#This Row],[Item]], "-"), 5))</f>
        <v>2</v>
      </c>
      <c r="G951" s="1" cm="1">
        <f t="array" ref="G951">VALUE(INDEX(_xlfn.TEXTSPLIT(Table1[[#This Row],[Item]], "-"), 6))</f>
        <v>1</v>
      </c>
      <c r="H951" s="1" cm="1">
        <f t="array" ref="H951">VALUE(INDEX(_xlfn.TEXTSPLIT(Table1[[#This Row],[Item]], "-"), 7))</f>
        <v>1</v>
      </c>
      <c r="I95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51" s="1" t="str">
        <f>LEFT(RIGHT(Table1[[#This Row],[Item]],6),1)</f>
        <v>N</v>
      </c>
      <c r="K951" s="1" t="str">
        <f t="shared" si="16"/>
        <v>N</v>
      </c>
      <c r="L951" s="1" t="str">
        <f>RIGHT(Table1[[#This Row],[Item]],2)</f>
        <v>DG</v>
      </c>
      <c r="M951" s="1" t="s">
        <v>33</v>
      </c>
      <c r="N951" s="3" t="s">
        <v>972</v>
      </c>
      <c r="O951" s="1"/>
    </row>
    <row r="952" spans="1:15" ht="15" customHeight="1">
      <c r="A952" t="s">
        <v>973</v>
      </c>
      <c r="B952" s="1" t="str">
        <f>LEFT(Table1[[#This Row],[Item]], FIND("-", Table1[[#This Row],[Item]]) - 1)</f>
        <v>GX09</v>
      </c>
      <c r="C952" s="1" t="str">
        <f>MID(LEFT(Table1[[#This Row],[Item]], FIND("{token}", SUBSTITUTE(Table1[[#This Row],[Item]], "-", "{token}", 2)) - 1), FIND("-", Table1[[#This Row],[Item]]) + 1, LEN(Table1[[#This Row],[Item]]))</f>
        <v>R</v>
      </c>
      <c r="D95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5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952" s="1" cm="1">
        <f t="array" ref="F952">VALUE(INDEX(_xlfn.TEXTSPLIT(Table1[[#This Row],[Item]], "-"), 5))</f>
        <v>1</v>
      </c>
      <c r="G952" s="1" cm="1">
        <f t="array" ref="G952">VALUE(INDEX(_xlfn.TEXTSPLIT(Table1[[#This Row],[Item]], "-"), 6))</f>
        <v>1</v>
      </c>
      <c r="H952" s="1" cm="1">
        <f t="array" ref="H952">VALUE(INDEX(_xlfn.TEXTSPLIT(Table1[[#This Row],[Item]], "-"), 7))</f>
        <v>1</v>
      </c>
      <c r="I95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52" s="1" t="str">
        <f>LEFT(RIGHT(Table1[[#This Row],[Item]],6),1)</f>
        <v>N</v>
      </c>
      <c r="K952" s="1" t="str">
        <f t="shared" si="16"/>
        <v>N</v>
      </c>
      <c r="L952" s="1" t="str">
        <f>RIGHT(Table1[[#This Row],[Item]],2)</f>
        <v>DG</v>
      </c>
      <c r="M952" s="1" t="s">
        <v>33</v>
      </c>
      <c r="N952" s="3" t="s">
        <v>973</v>
      </c>
      <c r="O952" s="1"/>
    </row>
    <row r="953" spans="1:15" ht="15" customHeight="1">
      <c r="A953" t="s">
        <v>974</v>
      </c>
      <c r="B953" s="1" t="str">
        <f>LEFT(Table1[[#This Row],[Item]], FIND("-", Table1[[#This Row],[Item]]) - 1)</f>
        <v>STT9</v>
      </c>
      <c r="C953" s="1" t="str">
        <f>MID(LEFT(Table1[[#This Row],[Item]], FIND("{token}", SUBSTITUTE(Table1[[#This Row],[Item]], "-", "{token}", 2)) - 1), FIND("-", Table1[[#This Row],[Item]]) + 1, LEN(Table1[[#This Row],[Item]]))</f>
        <v>N</v>
      </c>
      <c r="D95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5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53" s="1" cm="1">
        <f t="array" ref="F953">VALUE(INDEX(_xlfn.TEXTSPLIT(Table1[[#This Row],[Item]], "-"), 5))</f>
        <v>0</v>
      </c>
      <c r="G953" s="1" cm="1">
        <f t="array" ref="G953">VALUE(INDEX(_xlfn.TEXTSPLIT(Table1[[#This Row],[Item]], "-"), 6))</f>
        <v>0</v>
      </c>
      <c r="H953" s="1" cm="1">
        <f t="array" ref="H953">VALUE(INDEX(_xlfn.TEXTSPLIT(Table1[[#This Row],[Item]], "-"), 7))</f>
        <v>0</v>
      </c>
      <c r="I953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953" s="1" t="str">
        <f>LEFT(RIGHT(Table1[[#This Row],[Item]],6),1)</f>
        <v>Y</v>
      </c>
      <c r="K953" s="1" t="str">
        <f t="shared" si="16"/>
        <v>N</v>
      </c>
      <c r="L953" s="1" t="str">
        <f>RIGHT(Table1[[#This Row],[Item]],2)</f>
        <v>DG</v>
      </c>
      <c r="M953" s="1" t="s">
        <v>33</v>
      </c>
      <c r="N953" s="3" t="s">
        <v>974</v>
      </c>
      <c r="O953" s="1"/>
    </row>
    <row r="954" spans="1:15" ht="15" customHeight="1">
      <c r="A954" t="s">
        <v>975</v>
      </c>
      <c r="B954" s="1" t="str">
        <f>LEFT(Table1[[#This Row],[Item]], FIND("-", Table1[[#This Row],[Item]]) - 1)</f>
        <v>GX10</v>
      </c>
      <c r="C954" s="1" t="str">
        <f>MID(LEFT(Table1[[#This Row],[Item]], FIND("{token}", SUBSTITUTE(Table1[[#This Row],[Item]], "-", "{token}", 2)) - 1), FIND("-", Table1[[#This Row],[Item]]) + 1, LEN(Table1[[#This Row],[Item]]))</f>
        <v>LXL</v>
      </c>
      <c r="D954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5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954" s="1" cm="1">
        <f t="array" ref="F954">VALUE(INDEX(_xlfn.TEXTSPLIT(Table1[[#This Row],[Item]], "-"), 5))</f>
        <v>1</v>
      </c>
      <c r="G954" s="1" cm="1">
        <f t="array" ref="G954">VALUE(INDEX(_xlfn.TEXTSPLIT(Table1[[#This Row],[Item]], "-"), 6))</f>
        <v>2</v>
      </c>
      <c r="H954" s="1" cm="1">
        <f t="array" ref="H954">VALUE(INDEX(_xlfn.TEXTSPLIT(Table1[[#This Row],[Item]], "-"), 7))</f>
        <v>0</v>
      </c>
      <c r="I95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54" s="1" t="str">
        <f>LEFT(RIGHT(Table1[[#This Row],[Item]],6),1)</f>
        <v>N</v>
      </c>
      <c r="K954" s="1" t="str">
        <f t="shared" si="16"/>
        <v>N</v>
      </c>
      <c r="L954" s="1" t="str">
        <f>RIGHT(Table1[[#This Row],[Item]],2)</f>
        <v>DG</v>
      </c>
      <c r="M954" s="1" t="s">
        <v>33</v>
      </c>
      <c r="N954" s="3" t="s">
        <v>975</v>
      </c>
      <c r="O954" s="1"/>
    </row>
    <row r="955" spans="1:15" ht="15" customHeight="1">
      <c r="A955" t="s">
        <v>976</v>
      </c>
      <c r="B955" s="1" t="str">
        <f>LEFT(Table1[[#This Row],[Item]], FIND("-", Table1[[#This Row],[Item]]) - 1)</f>
        <v>GX10</v>
      </c>
      <c r="C955" s="1" t="str">
        <f>MID(LEFT(Table1[[#This Row],[Item]], FIND("{token}", SUBSTITUTE(Table1[[#This Row],[Item]], "-", "{token}", 2)) - 1), FIND("-", Table1[[#This Row],[Item]]) + 1, LEN(Table1[[#This Row],[Item]]))</f>
        <v>D</v>
      </c>
      <c r="D955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95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D2</v>
      </c>
      <c r="F955" s="1" cm="1">
        <f t="array" ref="F955">VALUE(INDEX(_xlfn.TEXTSPLIT(Table1[[#This Row],[Item]], "-"), 5))</f>
        <v>1</v>
      </c>
      <c r="G955" s="1" cm="1">
        <f t="array" ref="G955">VALUE(INDEX(_xlfn.TEXTSPLIT(Table1[[#This Row],[Item]], "-"), 6))</f>
        <v>1</v>
      </c>
      <c r="H955" s="1" cm="1">
        <f t="array" ref="H955">VALUE(INDEX(_xlfn.TEXTSPLIT(Table1[[#This Row],[Item]], "-"), 7))</f>
        <v>0</v>
      </c>
      <c r="I95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55" s="1" t="str">
        <f>LEFT(RIGHT(Table1[[#This Row],[Item]],6),1)</f>
        <v>N</v>
      </c>
      <c r="K955" s="1" t="str">
        <f t="shared" si="16"/>
        <v>N</v>
      </c>
      <c r="L955" s="1" t="str">
        <f>RIGHT(Table1[[#This Row],[Item]],2)</f>
        <v>DG</v>
      </c>
      <c r="M955" s="1" t="s">
        <v>33</v>
      </c>
      <c r="N955" s="3" t="s">
        <v>976</v>
      </c>
      <c r="O955" s="1"/>
    </row>
    <row r="956" spans="1:15" ht="15" customHeight="1">
      <c r="A956" t="s">
        <v>977</v>
      </c>
      <c r="B956" s="1" t="str">
        <f>LEFT(Table1[[#This Row],[Item]], FIND("-", Table1[[#This Row],[Item]]) - 1)</f>
        <v>GX09</v>
      </c>
      <c r="C956" s="1" t="str">
        <f>MID(LEFT(Table1[[#This Row],[Item]], FIND("{token}", SUBSTITUTE(Table1[[#This Row],[Item]], "-", "{token}", 2)) - 1), FIND("-", Table1[[#This Row],[Item]]) + 1, LEN(Table1[[#This Row],[Item]]))</f>
        <v>L</v>
      </c>
      <c r="D956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95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56" s="1" cm="1">
        <f t="array" ref="F956">VALUE(INDEX(_xlfn.TEXTSPLIT(Table1[[#This Row],[Item]], "-"), 5))</f>
        <v>1</v>
      </c>
      <c r="G956" s="1" cm="1">
        <f t="array" ref="G956">VALUE(INDEX(_xlfn.TEXTSPLIT(Table1[[#This Row],[Item]], "-"), 6))</f>
        <v>1</v>
      </c>
      <c r="H956" s="1" cm="1">
        <f t="array" ref="H956">VALUE(INDEX(_xlfn.TEXTSPLIT(Table1[[#This Row],[Item]], "-"), 7))</f>
        <v>0</v>
      </c>
      <c r="I95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56" s="1" t="str">
        <f>LEFT(RIGHT(Table1[[#This Row],[Item]],6),1)</f>
        <v>N</v>
      </c>
      <c r="K956" s="1" t="str">
        <f t="shared" si="16"/>
        <v>N</v>
      </c>
      <c r="L956" s="1" t="str">
        <f>RIGHT(Table1[[#This Row],[Item]],2)</f>
        <v>DG</v>
      </c>
      <c r="M956" s="1" t="s">
        <v>33</v>
      </c>
      <c r="N956" s="3" t="s">
        <v>977</v>
      </c>
      <c r="O956" s="1"/>
    </row>
    <row r="957" spans="1:15" ht="15" customHeight="1">
      <c r="A957" t="s">
        <v>978</v>
      </c>
      <c r="B957" s="1" t="str">
        <f>LEFT(Table1[[#This Row],[Item]], FIND("-", Table1[[#This Row],[Item]]) - 1)</f>
        <v>GX08</v>
      </c>
      <c r="C957" s="1" t="str">
        <f>MID(LEFT(Table1[[#This Row],[Item]], FIND("{token}", SUBSTITUTE(Table1[[#This Row],[Item]], "-", "{token}", 2)) - 1), FIND("-", Table1[[#This Row],[Item]]) + 1, LEN(Table1[[#This Row],[Item]]))</f>
        <v>C</v>
      </c>
      <c r="D95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5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957" s="1" cm="1">
        <f t="array" ref="F957">VALUE(INDEX(_xlfn.TEXTSPLIT(Table1[[#This Row],[Item]], "-"), 5))</f>
        <v>1</v>
      </c>
      <c r="G957" s="1" cm="1">
        <f t="array" ref="G957">VALUE(INDEX(_xlfn.TEXTSPLIT(Table1[[#This Row],[Item]], "-"), 6))</f>
        <v>1</v>
      </c>
      <c r="H957" s="1" cm="1">
        <f t="array" ref="H957">VALUE(INDEX(_xlfn.TEXTSPLIT(Table1[[#This Row],[Item]], "-"), 7))</f>
        <v>0</v>
      </c>
      <c r="I95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57" s="1" t="str">
        <f>LEFT(RIGHT(Table1[[#This Row],[Item]],6),1)</f>
        <v>N</v>
      </c>
      <c r="K957" s="1" t="str">
        <f t="shared" si="16"/>
        <v>N</v>
      </c>
      <c r="L957" s="1" t="str">
        <f>RIGHT(Table1[[#This Row],[Item]],2)</f>
        <v>DG</v>
      </c>
      <c r="M957" s="1" t="s">
        <v>33</v>
      </c>
      <c r="N957" s="3" t="s">
        <v>978</v>
      </c>
      <c r="O957" s="1"/>
    </row>
    <row r="958" spans="1:15" ht="15" customHeight="1">
      <c r="A958" t="s">
        <v>979</v>
      </c>
      <c r="B958" s="1" t="str">
        <f>LEFT(Table1[[#This Row],[Item]], FIND("-", Table1[[#This Row],[Item]]) - 1)</f>
        <v>GX06</v>
      </c>
      <c r="C958" s="1" t="str">
        <f>MID(LEFT(Table1[[#This Row],[Item]], FIND("{token}", SUBSTITUTE(Table1[[#This Row],[Item]], "-", "{token}", 2)) - 1), FIND("-", Table1[[#This Row],[Item]]) + 1, LEN(Table1[[#This Row],[Item]]))</f>
        <v>R</v>
      </c>
      <c r="D95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5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958" s="1" cm="1">
        <f t="array" ref="F958">VALUE(INDEX(_xlfn.TEXTSPLIT(Table1[[#This Row],[Item]], "-"), 5))</f>
        <v>1</v>
      </c>
      <c r="G958" s="1" cm="1">
        <f t="array" ref="G958">VALUE(INDEX(_xlfn.TEXTSPLIT(Table1[[#This Row],[Item]], "-"), 6))</f>
        <v>1</v>
      </c>
      <c r="H958" s="1" cm="1">
        <f t="array" ref="H958">VALUE(INDEX(_xlfn.TEXTSPLIT(Table1[[#This Row],[Item]], "-"), 7))</f>
        <v>0</v>
      </c>
      <c r="I95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58" s="1" t="str">
        <f>LEFT(RIGHT(Table1[[#This Row],[Item]],6),1)</f>
        <v>N</v>
      </c>
      <c r="K958" s="1" t="str">
        <f t="shared" si="16"/>
        <v>N</v>
      </c>
      <c r="L958" s="1" t="str">
        <f>RIGHT(Table1[[#This Row],[Item]],2)</f>
        <v>DG</v>
      </c>
      <c r="M958" s="1" t="s">
        <v>33</v>
      </c>
      <c r="N958" s="3" t="s">
        <v>979</v>
      </c>
      <c r="O958" s="1"/>
    </row>
    <row r="959" spans="1:15" ht="15" customHeight="1">
      <c r="A959" t="s">
        <v>980</v>
      </c>
      <c r="B959" s="1" t="str">
        <f>LEFT(Table1[[#This Row],[Item]], FIND("-", Table1[[#This Row],[Item]]) - 1)</f>
        <v>ARB8</v>
      </c>
      <c r="C959" s="1" t="str">
        <f>MID(LEFT(Table1[[#This Row],[Item]], FIND("{token}", SUBSTITUTE(Table1[[#This Row],[Item]], "-", "{token}", 2)) - 1), FIND("-", Table1[[#This Row],[Item]]) + 1, LEN(Table1[[#This Row],[Item]]))</f>
        <v>L</v>
      </c>
      <c r="D959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95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59" s="1" cm="1">
        <f t="array" ref="F959">VALUE(INDEX(_xlfn.TEXTSPLIT(Table1[[#This Row],[Item]], "-"), 5))</f>
        <v>1</v>
      </c>
      <c r="G959" s="1" cm="1">
        <f t="array" ref="G959">VALUE(INDEX(_xlfn.TEXTSPLIT(Table1[[#This Row],[Item]], "-"), 6))</f>
        <v>0</v>
      </c>
      <c r="H959" s="1" cm="1">
        <f t="array" ref="H959">VALUE(INDEX(_xlfn.TEXTSPLIT(Table1[[#This Row],[Item]], "-"), 7))</f>
        <v>0</v>
      </c>
      <c r="I959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959" s="1" t="str">
        <f>LEFT(RIGHT(Table1[[#This Row],[Item]],6),1)</f>
        <v>Y</v>
      </c>
      <c r="K959" s="1" t="str">
        <f t="shared" si="16"/>
        <v>N</v>
      </c>
      <c r="L959" s="1" t="str">
        <f>RIGHT(Table1[[#This Row],[Item]],2)</f>
        <v>DG</v>
      </c>
      <c r="M959" s="1" t="s">
        <v>33</v>
      </c>
      <c r="N959" s="3" t="s">
        <v>980</v>
      </c>
      <c r="O959" s="1"/>
    </row>
    <row r="960" spans="1:15" ht="15" customHeight="1">
      <c r="A960" t="s">
        <v>981</v>
      </c>
      <c r="B960" s="1" t="str">
        <f>LEFT(Table1[[#This Row],[Item]], FIND("-", Table1[[#This Row],[Item]]) - 1)</f>
        <v>GX12</v>
      </c>
      <c r="C960" s="1" t="str">
        <f>MID(LEFT(Table1[[#This Row],[Item]], FIND("{token}", SUBSTITUTE(Table1[[#This Row],[Item]], "-", "{token}", 2)) - 1), FIND("-", Table1[[#This Row],[Item]]) + 1, LEN(Table1[[#This Row],[Item]]))</f>
        <v>D</v>
      </c>
      <c r="D96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96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D2</v>
      </c>
      <c r="F960" s="1" cm="1">
        <f t="array" ref="F960">VALUE(INDEX(_xlfn.TEXTSPLIT(Table1[[#This Row],[Item]], "-"), 5))</f>
        <v>1</v>
      </c>
      <c r="G960" s="1" cm="1">
        <f t="array" ref="G960">VALUE(INDEX(_xlfn.TEXTSPLIT(Table1[[#This Row],[Item]], "-"), 6))</f>
        <v>2</v>
      </c>
      <c r="H960" s="1" cm="1">
        <f t="array" ref="H960">VALUE(INDEX(_xlfn.TEXTSPLIT(Table1[[#This Row],[Item]], "-"), 7))</f>
        <v>0</v>
      </c>
      <c r="I96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60" s="1" t="str">
        <f>LEFT(RIGHT(Table1[[#This Row],[Item]],6),1)</f>
        <v>N</v>
      </c>
      <c r="K960" s="1" t="str">
        <f t="shared" si="16"/>
        <v>N</v>
      </c>
      <c r="L960" s="1" t="str">
        <f>RIGHT(Table1[[#This Row],[Item]],2)</f>
        <v>DG</v>
      </c>
      <c r="M960" s="1" t="s">
        <v>33</v>
      </c>
      <c r="N960" s="3" t="s">
        <v>981</v>
      </c>
      <c r="O960" s="1"/>
    </row>
    <row r="961" spans="1:15" ht="15" customHeight="1">
      <c r="A961" t="s">
        <v>982</v>
      </c>
      <c r="B961" s="1" t="str">
        <f>LEFT(Table1[[#This Row],[Item]], FIND("-", Table1[[#This Row],[Item]]) - 1)</f>
        <v>GX08</v>
      </c>
      <c r="C961" s="1" t="str">
        <f>MID(LEFT(Table1[[#This Row],[Item]], FIND("{token}", SUBSTITUTE(Table1[[#This Row],[Item]], "-", "{token}", 2)) - 1), FIND("-", Table1[[#This Row],[Item]]) + 1, LEN(Table1[[#This Row],[Item]]))</f>
        <v>C</v>
      </c>
      <c r="D961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6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961" s="1" cm="1">
        <f t="array" ref="F961">VALUE(INDEX(_xlfn.TEXTSPLIT(Table1[[#This Row],[Item]], "-"), 5))</f>
        <v>1</v>
      </c>
      <c r="G961" s="1" cm="1">
        <f t="array" ref="G961">VALUE(INDEX(_xlfn.TEXTSPLIT(Table1[[#This Row],[Item]], "-"), 6))</f>
        <v>1</v>
      </c>
      <c r="H961" s="1" cm="1">
        <f t="array" ref="H961">VALUE(INDEX(_xlfn.TEXTSPLIT(Table1[[#This Row],[Item]], "-"), 7))</f>
        <v>0</v>
      </c>
      <c r="I96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61" s="1" t="str">
        <f>LEFT(RIGHT(Table1[[#This Row],[Item]],6),1)</f>
        <v>N</v>
      </c>
      <c r="K961" s="1" t="str">
        <f t="shared" si="16"/>
        <v>N</v>
      </c>
      <c r="L961" s="1" t="str">
        <f>RIGHT(Table1[[#This Row],[Item]],2)</f>
        <v>DG</v>
      </c>
      <c r="M961" s="1" t="s">
        <v>33</v>
      </c>
      <c r="N961" s="3" t="s">
        <v>982</v>
      </c>
      <c r="O961" s="1"/>
    </row>
    <row r="962" spans="1:15" ht="15" customHeight="1">
      <c r="A962" t="s">
        <v>983</v>
      </c>
      <c r="B962" s="1" t="str">
        <f>LEFT(Table1[[#This Row],[Item]], FIND("-", Table1[[#This Row],[Item]]) - 1)</f>
        <v>GX10</v>
      </c>
      <c r="C962" s="1" t="str">
        <f>MID(LEFT(Table1[[#This Row],[Item]], FIND("{token}", SUBSTITUTE(Table1[[#This Row],[Item]], "-", "{token}", 2)) - 1), FIND("-", Table1[[#This Row],[Item]]) + 1, LEN(Table1[[#This Row],[Item]]))</f>
        <v>C</v>
      </c>
      <c r="D962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96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62" s="1" cm="1">
        <f t="array" ref="F962">VALUE(INDEX(_xlfn.TEXTSPLIT(Table1[[#This Row],[Item]], "-"), 5))</f>
        <v>1</v>
      </c>
      <c r="G962" s="1" cm="1">
        <f t="array" ref="G962">VALUE(INDEX(_xlfn.TEXTSPLIT(Table1[[#This Row],[Item]], "-"), 6))</f>
        <v>1</v>
      </c>
      <c r="H962" s="1" cm="1">
        <f t="array" ref="H962">VALUE(INDEX(_xlfn.TEXTSPLIT(Table1[[#This Row],[Item]], "-"), 7))</f>
        <v>0</v>
      </c>
      <c r="I96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62" s="1" t="str">
        <f>LEFT(RIGHT(Table1[[#This Row],[Item]],6),1)</f>
        <v>N</v>
      </c>
      <c r="K962" s="1" t="str">
        <f t="shared" si="16"/>
        <v>N</v>
      </c>
      <c r="L962" s="1" t="str">
        <f>RIGHT(Table1[[#This Row],[Item]],2)</f>
        <v>DG</v>
      </c>
      <c r="M962" s="1" t="s">
        <v>33</v>
      </c>
      <c r="N962" s="3" t="s">
        <v>983</v>
      </c>
      <c r="O962" s="1"/>
    </row>
    <row r="963" spans="1:15" ht="15" customHeight="1">
      <c r="A963" t="s">
        <v>984</v>
      </c>
      <c r="B963" s="1" t="str">
        <f>LEFT(Table1[[#This Row],[Item]], FIND("-", Table1[[#This Row],[Item]]) - 1)</f>
        <v>GX06</v>
      </c>
      <c r="C963" s="1" t="str">
        <f>MID(LEFT(Table1[[#This Row],[Item]], FIND("{token}", SUBSTITUTE(Table1[[#This Row],[Item]], "-", "{token}", 2)) - 1), FIND("-", Table1[[#This Row],[Item]]) + 1, LEN(Table1[[#This Row],[Item]]))</f>
        <v>R</v>
      </c>
      <c r="D963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96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963" s="1" cm="1">
        <f t="array" ref="F963">VALUE(INDEX(_xlfn.TEXTSPLIT(Table1[[#This Row],[Item]], "-"), 5))</f>
        <v>1</v>
      </c>
      <c r="G963" s="1" cm="1">
        <f t="array" ref="G963">VALUE(INDEX(_xlfn.TEXTSPLIT(Table1[[#This Row],[Item]], "-"), 6))</f>
        <v>1</v>
      </c>
      <c r="H963" s="1" cm="1">
        <f t="array" ref="H963">VALUE(INDEX(_xlfn.TEXTSPLIT(Table1[[#This Row],[Item]], "-"), 7))</f>
        <v>0</v>
      </c>
      <c r="I96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63" s="1" t="str">
        <f>LEFT(RIGHT(Table1[[#This Row],[Item]],6),1)</f>
        <v>N</v>
      </c>
      <c r="K963" s="1" t="str">
        <f t="shared" si="16"/>
        <v>N</v>
      </c>
      <c r="L963" s="1" t="str">
        <f>RIGHT(Table1[[#This Row],[Item]],2)</f>
        <v>DG</v>
      </c>
      <c r="M963" s="1" t="s">
        <v>33</v>
      </c>
      <c r="N963" s="3" t="s">
        <v>984</v>
      </c>
      <c r="O963" s="1"/>
    </row>
    <row r="964" spans="1:15" ht="15" customHeight="1">
      <c r="A964" t="s">
        <v>985</v>
      </c>
      <c r="B964" s="1" t="str">
        <f>LEFT(Table1[[#This Row],[Item]], FIND("-", Table1[[#This Row],[Item]]) - 1)</f>
        <v>GX08</v>
      </c>
      <c r="C964" s="1" t="str">
        <f>MID(LEFT(Table1[[#This Row],[Item]], FIND("{token}", SUBSTITUTE(Table1[[#This Row],[Item]], "-", "{token}", 2)) - 1), FIND("-", Table1[[#This Row],[Item]]) + 1, LEN(Table1[[#This Row],[Item]]))</f>
        <v>L</v>
      </c>
      <c r="D964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96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64" s="1" cm="1">
        <f t="array" ref="F964">VALUE(INDEX(_xlfn.TEXTSPLIT(Table1[[#This Row],[Item]], "-"), 5))</f>
        <v>1</v>
      </c>
      <c r="G964" s="1" cm="1">
        <f t="array" ref="G964">VALUE(INDEX(_xlfn.TEXTSPLIT(Table1[[#This Row],[Item]], "-"), 6))</f>
        <v>1</v>
      </c>
      <c r="H964" s="1" cm="1">
        <f t="array" ref="H964">VALUE(INDEX(_xlfn.TEXTSPLIT(Table1[[#This Row],[Item]], "-"), 7))</f>
        <v>0</v>
      </c>
      <c r="I96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64" s="1" t="str">
        <f>LEFT(RIGHT(Table1[[#This Row],[Item]],6),1)</f>
        <v>N</v>
      </c>
      <c r="K964" s="1" t="str">
        <f t="shared" si="16"/>
        <v>N</v>
      </c>
      <c r="L964" s="1" t="str">
        <f>RIGHT(Table1[[#This Row],[Item]],2)</f>
        <v>DG</v>
      </c>
      <c r="M964" s="1" t="s">
        <v>33</v>
      </c>
      <c r="N964" s="3" t="s">
        <v>985</v>
      </c>
      <c r="O964" s="1"/>
    </row>
    <row r="965" spans="1:15" ht="15" customHeight="1">
      <c r="A965" t="s">
        <v>986</v>
      </c>
      <c r="B965" s="1" t="str">
        <f>LEFT(Table1[[#This Row],[Item]], FIND("-", Table1[[#This Row],[Item]]) - 1)</f>
        <v>GX14</v>
      </c>
      <c r="C965" s="1" t="str">
        <f>MID(LEFT(Table1[[#This Row],[Item]], FIND("{token}", SUBSTITUTE(Table1[[#This Row],[Item]], "-", "{token}", 2)) - 1), FIND("-", Table1[[#This Row],[Item]]) + 1, LEN(Table1[[#This Row],[Item]]))</f>
        <v>CXL</v>
      </c>
      <c r="D965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6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965" s="1" cm="1">
        <f t="array" ref="F965">VALUE(INDEX(_xlfn.TEXTSPLIT(Table1[[#This Row],[Item]], "-"), 5))</f>
        <v>2</v>
      </c>
      <c r="G965" s="1" cm="1">
        <f t="array" ref="G965">VALUE(INDEX(_xlfn.TEXTSPLIT(Table1[[#This Row],[Item]], "-"), 6))</f>
        <v>2</v>
      </c>
      <c r="H965" s="1" cm="1">
        <f t="array" ref="H965">VALUE(INDEX(_xlfn.TEXTSPLIT(Table1[[#This Row],[Item]], "-"), 7))</f>
        <v>0</v>
      </c>
      <c r="I96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65" s="1" t="str">
        <f>LEFT(RIGHT(Table1[[#This Row],[Item]],6),1)</f>
        <v>N</v>
      </c>
      <c r="K965" s="1" t="str">
        <f t="shared" si="16"/>
        <v>N</v>
      </c>
      <c r="L965" s="1" t="str">
        <f>RIGHT(Table1[[#This Row],[Item]],2)</f>
        <v>DG</v>
      </c>
      <c r="M965" s="1" t="s">
        <v>33</v>
      </c>
      <c r="N965" s="3" t="s">
        <v>986</v>
      </c>
      <c r="O965" s="1"/>
    </row>
    <row r="966" spans="1:15" ht="15" customHeight="1">
      <c r="A966" t="s">
        <v>987</v>
      </c>
      <c r="B966" s="1" t="str">
        <f>LEFT(Table1[[#This Row],[Item]], FIND("-", Table1[[#This Row],[Item]]) - 1)</f>
        <v>ARB8</v>
      </c>
      <c r="C966" s="1" t="str">
        <f>MID(LEFT(Table1[[#This Row],[Item]], FIND("{token}", SUBSTITUTE(Table1[[#This Row],[Item]], "-", "{token}", 2)) - 1), FIND("-", Table1[[#This Row],[Item]]) + 1, LEN(Table1[[#This Row],[Item]]))</f>
        <v>L</v>
      </c>
      <c r="D966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6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966" s="1" cm="1">
        <f t="array" ref="F966">VALUE(INDEX(_xlfn.TEXTSPLIT(Table1[[#This Row],[Item]], "-"), 5))</f>
        <v>1</v>
      </c>
      <c r="G966" s="1" cm="1">
        <f t="array" ref="G966">VALUE(INDEX(_xlfn.TEXTSPLIT(Table1[[#This Row],[Item]], "-"), 6))</f>
        <v>1</v>
      </c>
      <c r="H966" s="1" cm="1">
        <f t="array" ref="H966">VALUE(INDEX(_xlfn.TEXTSPLIT(Table1[[#This Row],[Item]], "-"), 7))</f>
        <v>0</v>
      </c>
      <c r="I966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966" s="1" t="str">
        <f>LEFT(RIGHT(Table1[[#This Row],[Item]],6),1)</f>
        <v>Y</v>
      </c>
      <c r="K966" s="1" t="str">
        <f t="shared" si="16"/>
        <v>Y</v>
      </c>
      <c r="L966" s="1" t="str">
        <f>RIGHT(Table1[[#This Row],[Item]],2)</f>
        <v>DG</v>
      </c>
      <c r="M966" s="1" t="s">
        <v>33</v>
      </c>
      <c r="N966" s="3" t="s">
        <v>987</v>
      </c>
      <c r="O966" s="1"/>
    </row>
    <row r="967" spans="1:15" ht="15" customHeight="1">
      <c r="A967" t="s">
        <v>988</v>
      </c>
      <c r="B967" s="1" t="str">
        <f>LEFT(Table1[[#This Row],[Item]], FIND("-", Table1[[#This Row],[Item]]) - 1)</f>
        <v>GX10</v>
      </c>
      <c r="C967" s="1" t="str">
        <f>MID(LEFT(Table1[[#This Row],[Item]], FIND("{token}", SUBSTITUTE(Table1[[#This Row],[Item]], "-", "{token}", 2)) - 1), FIND("-", Table1[[#This Row],[Item]]) + 1, LEN(Table1[[#This Row],[Item]]))</f>
        <v>RXL</v>
      </c>
      <c r="D96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6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67" s="1" cm="1">
        <f t="array" ref="F967">VALUE(INDEX(_xlfn.TEXTSPLIT(Table1[[#This Row],[Item]], "-"), 5))</f>
        <v>1</v>
      </c>
      <c r="G967" s="1" cm="1">
        <f t="array" ref="G967">VALUE(INDEX(_xlfn.TEXTSPLIT(Table1[[#This Row],[Item]], "-"), 6))</f>
        <v>2</v>
      </c>
      <c r="H967" s="1" cm="1">
        <f t="array" ref="H967">VALUE(INDEX(_xlfn.TEXTSPLIT(Table1[[#This Row],[Item]], "-"), 7))</f>
        <v>0</v>
      </c>
      <c r="I96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67" s="1" t="str">
        <f>LEFT(RIGHT(Table1[[#This Row],[Item]],6),1)</f>
        <v>N</v>
      </c>
      <c r="K967" s="1" t="str">
        <f t="shared" si="16"/>
        <v>N</v>
      </c>
      <c r="L967" s="1" t="str">
        <f>RIGHT(Table1[[#This Row],[Item]],2)</f>
        <v>DG</v>
      </c>
      <c r="M967" s="1" t="s">
        <v>33</v>
      </c>
      <c r="N967" s="3" t="s">
        <v>988</v>
      </c>
      <c r="O967" s="1"/>
    </row>
    <row r="968" spans="1:15" ht="15" customHeight="1">
      <c r="A968" t="s">
        <v>989</v>
      </c>
      <c r="B968" s="1" t="str">
        <f>LEFT(Table1[[#This Row],[Item]], FIND("-", Table1[[#This Row],[Item]]) - 1)</f>
        <v>PRT9</v>
      </c>
      <c r="C968" s="1" t="str">
        <f>MID(LEFT(Table1[[#This Row],[Item]], FIND("{token}", SUBSTITUTE(Table1[[#This Row],[Item]], "-", "{token}", 2)) - 1), FIND("-", Table1[[#This Row],[Item]]) + 1, LEN(Table1[[#This Row],[Item]]))</f>
        <v>N</v>
      </c>
      <c r="D96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6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968" s="1" cm="1">
        <f t="array" ref="F968">VALUE(INDEX(_xlfn.TEXTSPLIT(Table1[[#This Row],[Item]], "-"), 5))</f>
        <v>2</v>
      </c>
      <c r="G968" s="1" cm="1">
        <f t="array" ref="G968">VALUE(INDEX(_xlfn.TEXTSPLIT(Table1[[#This Row],[Item]], "-"), 6))</f>
        <v>0</v>
      </c>
      <c r="H968" s="1" cm="1">
        <f t="array" ref="H968">VALUE(INDEX(_xlfn.TEXTSPLIT(Table1[[#This Row],[Item]], "-"), 7))</f>
        <v>0</v>
      </c>
      <c r="I96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68" s="1" t="str">
        <f>LEFT(RIGHT(Table1[[#This Row],[Item]],6),1)</f>
        <v>Y</v>
      </c>
      <c r="K968" s="1" t="str">
        <f t="shared" si="16"/>
        <v>Y</v>
      </c>
      <c r="L968" s="1" t="str">
        <f>RIGHT(Table1[[#This Row],[Item]],2)</f>
        <v>DG</v>
      </c>
      <c r="M968" s="1" t="s">
        <v>33</v>
      </c>
      <c r="N968" s="3" t="s">
        <v>989</v>
      </c>
      <c r="O968" s="1"/>
    </row>
    <row r="969" spans="1:15" ht="15" customHeight="1">
      <c r="A969" t="s">
        <v>990</v>
      </c>
      <c r="B969" s="1" t="str">
        <f>LEFT(Table1[[#This Row],[Item]], FIND("-", Table1[[#This Row],[Item]]) - 1)</f>
        <v>GX10</v>
      </c>
      <c r="C969" s="1" t="str">
        <f>MID(LEFT(Table1[[#This Row],[Item]], FIND("{token}", SUBSTITUTE(Table1[[#This Row],[Item]], "-", "{token}", 2)) - 1), FIND("-", Table1[[#This Row],[Item]]) + 1, LEN(Table1[[#This Row],[Item]]))</f>
        <v>C</v>
      </c>
      <c r="D96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6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69" s="1" cm="1">
        <f t="array" ref="F969">VALUE(INDEX(_xlfn.TEXTSPLIT(Table1[[#This Row],[Item]], "-"), 5))</f>
        <v>1</v>
      </c>
      <c r="G969" s="1" cm="1">
        <f t="array" ref="G969">VALUE(INDEX(_xlfn.TEXTSPLIT(Table1[[#This Row],[Item]], "-"), 6))</f>
        <v>1</v>
      </c>
      <c r="H969" s="1" cm="1">
        <f t="array" ref="H969">VALUE(INDEX(_xlfn.TEXTSPLIT(Table1[[#This Row],[Item]], "-"), 7))</f>
        <v>0</v>
      </c>
      <c r="I96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69" s="1" t="str">
        <f>LEFT(RIGHT(Table1[[#This Row],[Item]],6),1)</f>
        <v>N</v>
      </c>
      <c r="K969" s="1" t="str">
        <f t="shared" si="16"/>
        <v>N</v>
      </c>
      <c r="L969" s="1" t="str">
        <f>RIGHT(Table1[[#This Row],[Item]],2)</f>
        <v>DG</v>
      </c>
      <c r="M969" s="1" t="s">
        <v>33</v>
      </c>
      <c r="N969" s="3" t="s">
        <v>990</v>
      </c>
      <c r="O969" s="1"/>
    </row>
    <row r="970" spans="1:15" ht="15" customHeight="1">
      <c r="A970" t="s">
        <v>991</v>
      </c>
      <c r="B970" s="1" t="str">
        <f>LEFT(Table1[[#This Row],[Item]], FIND("-", Table1[[#This Row],[Item]]) - 1)</f>
        <v>GX10</v>
      </c>
      <c r="C970" s="1" t="str">
        <f>MID(LEFT(Table1[[#This Row],[Item]], FIND("{token}", SUBSTITUTE(Table1[[#This Row],[Item]], "-", "{token}", 2)) - 1), FIND("-", Table1[[#This Row],[Item]]) + 1, LEN(Table1[[#This Row],[Item]]))</f>
        <v>R</v>
      </c>
      <c r="D970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97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970" s="1" cm="1">
        <f t="array" ref="F970">VALUE(INDEX(_xlfn.TEXTSPLIT(Table1[[#This Row],[Item]], "-"), 5))</f>
        <v>1</v>
      </c>
      <c r="G970" s="1" cm="1">
        <f t="array" ref="G970">VALUE(INDEX(_xlfn.TEXTSPLIT(Table1[[#This Row],[Item]], "-"), 6))</f>
        <v>2</v>
      </c>
      <c r="H970" s="1" cm="1">
        <f t="array" ref="H970">VALUE(INDEX(_xlfn.TEXTSPLIT(Table1[[#This Row],[Item]], "-"), 7))</f>
        <v>0</v>
      </c>
      <c r="I97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70" s="1" t="str">
        <f>LEFT(RIGHT(Table1[[#This Row],[Item]],6),1)</f>
        <v>N</v>
      </c>
      <c r="K970" s="1" t="str">
        <f t="shared" si="16"/>
        <v>N</v>
      </c>
      <c r="L970" s="1" t="str">
        <f>RIGHT(Table1[[#This Row],[Item]],2)</f>
        <v>DG</v>
      </c>
      <c r="M970" s="1" t="s">
        <v>33</v>
      </c>
      <c r="N970" s="3" t="s">
        <v>991</v>
      </c>
      <c r="O970" s="1"/>
    </row>
    <row r="971" spans="1:15" ht="15" customHeight="1">
      <c r="A971" t="s">
        <v>992</v>
      </c>
      <c r="B971" s="1" t="str">
        <f>LEFT(Table1[[#This Row],[Item]], FIND("-", Table1[[#This Row],[Item]]) - 1)</f>
        <v>GX08</v>
      </c>
      <c r="C971" s="1" t="str">
        <f>MID(LEFT(Table1[[#This Row],[Item]], FIND("{token}", SUBSTITUTE(Table1[[#This Row],[Item]], "-", "{token}", 2)) - 1), FIND("-", Table1[[#This Row],[Item]]) + 1, LEN(Table1[[#This Row],[Item]]))</f>
        <v>L</v>
      </c>
      <c r="D97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7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971" s="1" cm="1">
        <f t="array" ref="F971">VALUE(INDEX(_xlfn.TEXTSPLIT(Table1[[#This Row],[Item]], "-"), 5))</f>
        <v>1</v>
      </c>
      <c r="G971" s="1" cm="1">
        <f t="array" ref="G971">VALUE(INDEX(_xlfn.TEXTSPLIT(Table1[[#This Row],[Item]], "-"), 6))</f>
        <v>1</v>
      </c>
      <c r="H971" s="1" cm="1">
        <f t="array" ref="H971">VALUE(INDEX(_xlfn.TEXTSPLIT(Table1[[#This Row],[Item]], "-"), 7))</f>
        <v>0</v>
      </c>
      <c r="I97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71" s="1" t="str">
        <f>LEFT(RIGHT(Table1[[#This Row],[Item]],6),1)</f>
        <v>N</v>
      </c>
      <c r="K971" s="1" t="str">
        <f t="shared" si="16"/>
        <v>N</v>
      </c>
      <c r="L971" s="1" t="str">
        <f>RIGHT(Table1[[#This Row],[Item]],2)</f>
        <v>DG</v>
      </c>
      <c r="M971" s="1" t="s">
        <v>33</v>
      </c>
      <c r="N971" s="3" t="s">
        <v>992</v>
      </c>
      <c r="O971" s="1"/>
    </row>
    <row r="972" spans="1:15" ht="15" customHeight="1">
      <c r="A972" t="s">
        <v>993</v>
      </c>
      <c r="B972" s="1" t="str">
        <f>LEFT(Table1[[#This Row],[Item]], FIND("-", Table1[[#This Row],[Item]]) - 1)</f>
        <v>GX09</v>
      </c>
      <c r="C972" s="1" t="str">
        <f>MID(LEFT(Table1[[#This Row],[Item]], FIND("{token}", SUBSTITUTE(Table1[[#This Row],[Item]], "-", "{token}", 2)) - 1), FIND("-", Table1[[#This Row],[Item]]) + 1, LEN(Table1[[#This Row],[Item]]))</f>
        <v>C</v>
      </c>
      <c r="D972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7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72" s="1" cm="1">
        <f t="array" ref="F972">VALUE(INDEX(_xlfn.TEXTSPLIT(Table1[[#This Row],[Item]], "-"), 5))</f>
        <v>1</v>
      </c>
      <c r="G972" s="1" cm="1">
        <f t="array" ref="G972">VALUE(INDEX(_xlfn.TEXTSPLIT(Table1[[#This Row],[Item]], "-"), 6))</f>
        <v>2</v>
      </c>
      <c r="H972" s="1" cm="1">
        <f t="array" ref="H972">VALUE(INDEX(_xlfn.TEXTSPLIT(Table1[[#This Row],[Item]], "-"), 7))</f>
        <v>0</v>
      </c>
      <c r="I97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72" s="1" t="str">
        <f>LEFT(RIGHT(Table1[[#This Row],[Item]],6),1)</f>
        <v>N</v>
      </c>
      <c r="K972" s="1" t="str">
        <f t="shared" si="16"/>
        <v>N</v>
      </c>
      <c r="L972" s="1" t="str">
        <f>RIGHT(Table1[[#This Row],[Item]],2)</f>
        <v>DG</v>
      </c>
      <c r="M972" s="1" t="s">
        <v>33</v>
      </c>
      <c r="N972" s="3" t="s">
        <v>993</v>
      </c>
      <c r="O972" s="1"/>
    </row>
    <row r="973" spans="1:15" ht="15" customHeight="1">
      <c r="A973" t="s">
        <v>994</v>
      </c>
      <c r="B973" s="1" t="str">
        <f>LEFT(Table1[[#This Row],[Item]], FIND("-", Table1[[#This Row],[Item]]) - 1)</f>
        <v>GX10</v>
      </c>
      <c r="C973" s="1" t="str">
        <f>MID(LEFT(Table1[[#This Row],[Item]], FIND("{token}", SUBSTITUTE(Table1[[#This Row],[Item]], "-", "{token}", 2)) - 1), FIND("-", Table1[[#This Row],[Item]]) + 1, LEN(Table1[[#This Row],[Item]]))</f>
        <v>D</v>
      </c>
      <c r="D97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7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973" s="1" cm="1">
        <f t="array" ref="F973">VALUE(INDEX(_xlfn.TEXTSPLIT(Table1[[#This Row],[Item]], "-"), 5))</f>
        <v>1</v>
      </c>
      <c r="G973" s="1" cm="1">
        <f t="array" ref="G973">VALUE(INDEX(_xlfn.TEXTSPLIT(Table1[[#This Row],[Item]], "-"), 6))</f>
        <v>0</v>
      </c>
      <c r="H973" s="1" cm="1">
        <f t="array" ref="H973">VALUE(INDEX(_xlfn.TEXTSPLIT(Table1[[#This Row],[Item]], "-"), 7))</f>
        <v>1</v>
      </c>
      <c r="I97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73" s="1" t="str">
        <f>LEFT(RIGHT(Table1[[#This Row],[Item]],6),1)</f>
        <v>N</v>
      </c>
      <c r="K973" s="1" t="str">
        <f t="shared" si="16"/>
        <v>N</v>
      </c>
      <c r="L973" s="1" t="str">
        <f>RIGHT(Table1[[#This Row],[Item]],2)</f>
        <v>DG</v>
      </c>
      <c r="M973" s="1" t="s">
        <v>33</v>
      </c>
      <c r="N973" s="3" t="s">
        <v>994</v>
      </c>
      <c r="O973" s="1"/>
    </row>
    <row r="974" spans="1:15" ht="15" customHeight="1">
      <c r="A974" t="s">
        <v>995</v>
      </c>
      <c r="B974" s="1" t="str">
        <f>LEFT(Table1[[#This Row],[Item]], FIND("-", Table1[[#This Row],[Item]]) - 1)</f>
        <v>ARB6</v>
      </c>
      <c r="C974" s="1" t="str">
        <f>MID(LEFT(Table1[[#This Row],[Item]], FIND("{token}", SUBSTITUTE(Table1[[#This Row],[Item]], "-", "{token}", 2)) - 1), FIND("-", Table1[[#This Row],[Item]]) + 1, LEN(Table1[[#This Row],[Item]]))</f>
        <v>L</v>
      </c>
      <c r="D974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7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74" s="1" cm="1">
        <f t="array" ref="F974">VALUE(INDEX(_xlfn.TEXTSPLIT(Table1[[#This Row],[Item]], "-"), 5))</f>
        <v>0</v>
      </c>
      <c r="G974" s="1" cm="1">
        <f t="array" ref="G974">VALUE(INDEX(_xlfn.TEXTSPLIT(Table1[[#This Row],[Item]], "-"), 6))</f>
        <v>0</v>
      </c>
      <c r="H974" s="1" cm="1">
        <f t="array" ref="H974">VALUE(INDEX(_xlfn.TEXTSPLIT(Table1[[#This Row],[Item]], "-"), 7))</f>
        <v>0</v>
      </c>
      <c r="I97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74" s="1" t="str">
        <f>LEFT(RIGHT(Table1[[#This Row],[Item]],6),1)</f>
        <v>Y</v>
      </c>
      <c r="K974" s="1" t="str">
        <f t="shared" si="16"/>
        <v>N</v>
      </c>
      <c r="L974" s="1" t="str">
        <f>RIGHT(Table1[[#This Row],[Item]],2)</f>
        <v>DG</v>
      </c>
      <c r="M974" s="1" t="s">
        <v>33</v>
      </c>
      <c r="N974" s="3" t="s">
        <v>995</v>
      </c>
      <c r="O974" s="1"/>
    </row>
    <row r="975" spans="1:15" ht="15" customHeight="1">
      <c r="A975" t="s">
        <v>996</v>
      </c>
      <c r="B975" s="1" t="str">
        <f>LEFT(Table1[[#This Row],[Item]], FIND("-", Table1[[#This Row],[Item]]) - 1)</f>
        <v>GX06</v>
      </c>
      <c r="C975" s="1" t="str">
        <f>MID(LEFT(Table1[[#This Row],[Item]], FIND("{token}", SUBSTITUTE(Table1[[#This Row],[Item]], "-", "{token}", 2)) - 1), FIND("-", Table1[[#This Row],[Item]]) + 1, LEN(Table1[[#This Row],[Item]]))</f>
        <v>L</v>
      </c>
      <c r="D975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97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75" s="1" cm="1">
        <f t="array" ref="F975">VALUE(INDEX(_xlfn.TEXTSPLIT(Table1[[#This Row],[Item]], "-"), 5))</f>
        <v>1</v>
      </c>
      <c r="G975" s="1" cm="1">
        <f t="array" ref="G975">VALUE(INDEX(_xlfn.TEXTSPLIT(Table1[[#This Row],[Item]], "-"), 6))</f>
        <v>0</v>
      </c>
      <c r="H975" s="1" cm="1">
        <f t="array" ref="H975">VALUE(INDEX(_xlfn.TEXTSPLIT(Table1[[#This Row],[Item]], "-"), 7))</f>
        <v>0</v>
      </c>
      <c r="I97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75" s="1" t="str">
        <f>LEFT(RIGHT(Table1[[#This Row],[Item]],6),1)</f>
        <v>N</v>
      </c>
      <c r="K975" s="1" t="str">
        <f t="shared" si="16"/>
        <v>N</v>
      </c>
      <c r="L975" s="1" t="str">
        <f>RIGHT(Table1[[#This Row],[Item]],2)</f>
        <v>DG</v>
      </c>
      <c r="M975" s="1" t="s">
        <v>33</v>
      </c>
      <c r="N975" s="3" t="s">
        <v>996</v>
      </c>
      <c r="O975" s="1"/>
    </row>
    <row r="976" spans="1:15" ht="15" customHeight="1">
      <c r="A976" t="s">
        <v>997</v>
      </c>
      <c r="B976" s="1" t="str">
        <f>LEFT(Table1[[#This Row],[Item]], FIND("-", Table1[[#This Row],[Item]]) - 1)</f>
        <v>PRT7</v>
      </c>
      <c r="C976" s="1" t="str">
        <f>MID(LEFT(Table1[[#This Row],[Item]], FIND("{token}", SUBSTITUTE(Table1[[#This Row],[Item]], "-", "{token}", 2)) - 1), FIND("-", Table1[[#This Row],[Item]]) + 1, LEN(Table1[[#This Row],[Item]]))</f>
        <v>N</v>
      </c>
      <c r="D976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7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976" s="1" cm="1">
        <f t="array" ref="F976">VALUE(INDEX(_xlfn.TEXTSPLIT(Table1[[#This Row],[Item]], "-"), 5))</f>
        <v>1</v>
      </c>
      <c r="G976" s="1" cm="1">
        <f t="array" ref="G976">VALUE(INDEX(_xlfn.TEXTSPLIT(Table1[[#This Row],[Item]], "-"), 6))</f>
        <v>0</v>
      </c>
      <c r="H976" s="1" cm="1">
        <f t="array" ref="H976">VALUE(INDEX(_xlfn.TEXTSPLIT(Table1[[#This Row],[Item]], "-"), 7))</f>
        <v>0</v>
      </c>
      <c r="I976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976" s="1" t="str">
        <f>LEFT(RIGHT(Table1[[#This Row],[Item]],6),1)</f>
        <v>Y</v>
      </c>
      <c r="K976" s="1" t="str">
        <f t="shared" si="16"/>
        <v>Y</v>
      </c>
      <c r="L976" s="1" t="str">
        <f>RIGHT(Table1[[#This Row],[Item]],2)</f>
        <v>DG</v>
      </c>
      <c r="M976" s="1" t="s">
        <v>33</v>
      </c>
      <c r="N976" s="3" t="s">
        <v>997</v>
      </c>
      <c r="O976" s="1"/>
    </row>
    <row r="977" spans="1:15" ht="15" customHeight="1">
      <c r="A977" t="s">
        <v>998</v>
      </c>
      <c r="B977" s="1" t="str">
        <f>LEFT(Table1[[#This Row],[Item]], FIND("-", Table1[[#This Row],[Item]]) - 1)</f>
        <v>ARB8</v>
      </c>
      <c r="C977" s="1" t="str">
        <f>MID(LEFT(Table1[[#This Row],[Item]], FIND("{token}", SUBSTITUTE(Table1[[#This Row],[Item]], "-", "{token}", 2)) - 1), FIND("-", Table1[[#This Row],[Item]]) + 1, LEN(Table1[[#This Row],[Item]]))</f>
        <v>L</v>
      </c>
      <c r="D97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7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977" s="1" cm="1">
        <f t="array" ref="F977">VALUE(INDEX(_xlfn.TEXTSPLIT(Table1[[#This Row],[Item]], "-"), 5))</f>
        <v>1</v>
      </c>
      <c r="G977" s="1" cm="1">
        <f t="array" ref="G977">VALUE(INDEX(_xlfn.TEXTSPLIT(Table1[[#This Row],[Item]], "-"), 6))</f>
        <v>1</v>
      </c>
      <c r="H977" s="1" cm="1">
        <f t="array" ref="H977">VALUE(INDEX(_xlfn.TEXTSPLIT(Table1[[#This Row],[Item]], "-"), 7))</f>
        <v>0</v>
      </c>
      <c r="I977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977" s="1" t="str">
        <f>LEFT(RIGHT(Table1[[#This Row],[Item]],6),1)</f>
        <v>Y</v>
      </c>
      <c r="K977" s="1" t="str">
        <f t="shared" si="16"/>
        <v>Y</v>
      </c>
      <c r="L977" s="1" t="str">
        <f>RIGHT(Table1[[#This Row],[Item]],2)</f>
        <v>DG</v>
      </c>
      <c r="M977" s="1" t="s">
        <v>33</v>
      </c>
      <c r="N977" s="3" t="s">
        <v>998</v>
      </c>
      <c r="O977" s="1"/>
    </row>
    <row r="978" spans="1:15" ht="15" customHeight="1">
      <c r="A978" t="s">
        <v>999</v>
      </c>
      <c r="B978" s="1" t="str">
        <f>LEFT(Table1[[#This Row],[Item]], FIND("-", Table1[[#This Row],[Item]]) - 1)</f>
        <v>PRT7</v>
      </c>
      <c r="C978" s="1" t="str">
        <f>MID(LEFT(Table1[[#This Row],[Item]], FIND("{token}", SUBSTITUTE(Table1[[#This Row],[Item]], "-", "{token}", 2)) - 1), FIND("-", Table1[[#This Row],[Item]]) + 1, LEN(Table1[[#This Row],[Item]]))</f>
        <v>N</v>
      </c>
      <c r="D97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7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978" s="1" cm="1">
        <f t="array" ref="F978">VALUE(INDEX(_xlfn.TEXTSPLIT(Table1[[#This Row],[Item]], "-"), 5))</f>
        <v>1</v>
      </c>
      <c r="G978" s="1" cm="1">
        <f t="array" ref="G978">VALUE(INDEX(_xlfn.TEXTSPLIT(Table1[[#This Row],[Item]], "-"), 6))</f>
        <v>0</v>
      </c>
      <c r="H978" s="1" cm="1">
        <f t="array" ref="H978">VALUE(INDEX(_xlfn.TEXTSPLIT(Table1[[#This Row],[Item]], "-"), 7))</f>
        <v>0</v>
      </c>
      <c r="I978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978" s="1" t="str">
        <f>LEFT(RIGHT(Table1[[#This Row],[Item]],6),1)</f>
        <v>Y</v>
      </c>
      <c r="K978" s="1" t="str">
        <f t="shared" si="16"/>
        <v>N</v>
      </c>
      <c r="L978" s="1" t="str">
        <f>RIGHT(Table1[[#This Row],[Item]],2)</f>
        <v>DG</v>
      </c>
      <c r="M978" s="1" t="s">
        <v>33</v>
      </c>
      <c r="N978" s="3" t="s">
        <v>999</v>
      </c>
      <c r="O978" s="1"/>
    </row>
    <row r="979" spans="1:15" ht="15" customHeight="1">
      <c r="A979" t="s">
        <v>1000</v>
      </c>
      <c r="B979" s="1" t="str">
        <f>LEFT(Table1[[#This Row],[Item]], FIND("-", Table1[[#This Row],[Item]]) - 1)</f>
        <v>PRT9</v>
      </c>
      <c r="C979" s="1" t="str">
        <f>MID(LEFT(Table1[[#This Row],[Item]], FIND("{token}", SUBSTITUTE(Table1[[#This Row],[Item]], "-", "{token}", 2)) - 1), FIND("-", Table1[[#This Row],[Item]]) + 1, LEN(Table1[[#This Row],[Item]]))</f>
        <v>N</v>
      </c>
      <c r="D97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7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979" s="1" cm="1">
        <f t="array" ref="F979">VALUE(INDEX(_xlfn.TEXTSPLIT(Table1[[#This Row],[Item]], "-"), 5))</f>
        <v>2</v>
      </c>
      <c r="G979" s="1" cm="1">
        <f t="array" ref="G979">VALUE(INDEX(_xlfn.TEXTSPLIT(Table1[[#This Row],[Item]], "-"), 6))</f>
        <v>0</v>
      </c>
      <c r="H979" s="1" cm="1">
        <f t="array" ref="H979">VALUE(INDEX(_xlfn.TEXTSPLIT(Table1[[#This Row],[Item]], "-"), 7))</f>
        <v>0</v>
      </c>
      <c r="I979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979" s="1" t="str">
        <f>LEFT(RIGHT(Table1[[#This Row],[Item]],6),1)</f>
        <v>Y</v>
      </c>
      <c r="K979" s="1" t="str">
        <f t="shared" si="16"/>
        <v>Y</v>
      </c>
      <c r="L979" s="1" t="str">
        <f>RIGHT(Table1[[#This Row],[Item]],2)</f>
        <v>DG</v>
      </c>
      <c r="M979" s="1" t="s">
        <v>33</v>
      </c>
      <c r="N979" s="3" t="s">
        <v>1000</v>
      </c>
      <c r="O979" s="1"/>
    </row>
    <row r="980" spans="1:15" ht="15" customHeight="1">
      <c r="A980" t="s">
        <v>1001</v>
      </c>
      <c r="B980" s="1" t="str">
        <f>LEFT(Table1[[#This Row],[Item]], FIND("-", Table1[[#This Row],[Item]]) - 1)</f>
        <v>GX06</v>
      </c>
      <c r="C980" s="1" t="str">
        <f>MID(LEFT(Table1[[#This Row],[Item]], FIND("{token}", SUBSTITUTE(Table1[[#This Row],[Item]], "-", "{token}", 2)) - 1), FIND("-", Table1[[#This Row],[Item]]) + 1, LEN(Table1[[#This Row],[Item]]))</f>
        <v>L</v>
      </c>
      <c r="D980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8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80" s="1" cm="1">
        <f t="array" ref="F980">VALUE(INDEX(_xlfn.TEXTSPLIT(Table1[[#This Row],[Item]], "-"), 5))</f>
        <v>1</v>
      </c>
      <c r="G980" s="1" cm="1">
        <f t="array" ref="G980">VALUE(INDEX(_xlfn.TEXTSPLIT(Table1[[#This Row],[Item]], "-"), 6))</f>
        <v>0</v>
      </c>
      <c r="H980" s="1" cm="1">
        <f t="array" ref="H980">VALUE(INDEX(_xlfn.TEXTSPLIT(Table1[[#This Row],[Item]], "-"), 7))</f>
        <v>0</v>
      </c>
      <c r="I98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80" s="1" t="str">
        <f>LEFT(RIGHT(Table1[[#This Row],[Item]],6),1)</f>
        <v>N</v>
      </c>
      <c r="K980" s="1" t="str">
        <f t="shared" si="16"/>
        <v>N</v>
      </c>
      <c r="L980" s="1" t="str">
        <f>RIGHT(Table1[[#This Row],[Item]],2)</f>
        <v>DG</v>
      </c>
      <c r="M980" s="1" t="s">
        <v>33</v>
      </c>
      <c r="N980" s="3" t="s">
        <v>1001</v>
      </c>
      <c r="O980" s="1"/>
    </row>
    <row r="981" spans="1:15" ht="15" customHeight="1">
      <c r="A981" t="s">
        <v>1002</v>
      </c>
      <c r="B981" s="1" t="str">
        <f>LEFT(Table1[[#This Row],[Item]], FIND("-", Table1[[#This Row],[Item]]) - 1)</f>
        <v>ARB6</v>
      </c>
      <c r="C981" s="1" t="str">
        <f>MID(LEFT(Table1[[#This Row],[Item]], FIND("{token}", SUBSTITUTE(Table1[[#This Row],[Item]], "-", "{token}", 2)) - 1), FIND("-", Table1[[#This Row],[Item]]) + 1, LEN(Table1[[#This Row],[Item]]))</f>
        <v>L</v>
      </c>
      <c r="D981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8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81" s="1" cm="1">
        <f t="array" ref="F981">VALUE(INDEX(_xlfn.TEXTSPLIT(Table1[[#This Row],[Item]], "-"), 5))</f>
        <v>1</v>
      </c>
      <c r="G981" s="1" cm="1">
        <f t="array" ref="G981">VALUE(INDEX(_xlfn.TEXTSPLIT(Table1[[#This Row],[Item]], "-"), 6))</f>
        <v>0</v>
      </c>
      <c r="H981" s="1" cm="1">
        <f t="array" ref="H981">VALUE(INDEX(_xlfn.TEXTSPLIT(Table1[[#This Row],[Item]], "-"), 7))</f>
        <v>0</v>
      </c>
      <c r="I98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81" s="1" t="str">
        <f>LEFT(RIGHT(Table1[[#This Row],[Item]],6),1)</f>
        <v>Y</v>
      </c>
      <c r="K981" s="1" t="str">
        <f t="shared" si="16"/>
        <v>N</v>
      </c>
      <c r="L981" s="1" t="str">
        <f>RIGHT(Table1[[#This Row],[Item]],2)</f>
        <v>DG</v>
      </c>
      <c r="M981" s="1" t="s">
        <v>33</v>
      </c>
      <c r="N981" s="3" t="s">
        <v>1002</v>
      </c>
      <c r="O981" s="1"/>
    </row>
    <row r="982" spans="1:15" ht="15" customHeight="1">
      <c r="A982" t="s">
        <v>1003</v>
      </c>
      <c r="B982" s="1" t="str">
        <f>LEFT(Table1[[#This Row],[Item]], FIND("-", Table1[[#This Row],[Item]]) - 1)</f>
        <v>GX09</v>
      </c>
      <c r="C982" s="1" t="str">
        <f>MID(LEFT(Table1[[#This Row],[Item]], FIND("{token}", SUBSTITUTE(Table1[[#This Row],[Item]], "-", "{token}", 2)) - 1), FIND("-", Table1[[#This Row],[Item]]) + 1, LEN(Table1[[#This Row],[Item]]))</f>
        <v>L</v>
      </c>
      <c r="D982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8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82" s="1" cm="1">
        <f t="array" ref="F982">VALUE(INDEX(_xlfn.TEXTSPLIT(Table1[[#This Row],[Item]], "-"), 5))</f>
        <v>1</v>
      </c>
      <c r="G982" s="1" cm="1">
        <f t="array" ref="G982">VALUE(INDEX(_xlfn.TEXTSPLIT(Table1[[#This Row],[Item]], "-"), 6))</f>
        <v>2</v>
      </c>
      <c r="H982" s="1" cm="1">
        <f t="array" ref="H982">VALUE(INDEX(_xlfn.TEXTSPLIT(Table1[[#This Row],[Item]], "-"), 7))</f>
        <v>0</v>
      </c>
      <c r="I98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82" s="1" t="str">
        <f>LEFT(RIGHT(Table1[[#This Row],[Item]],6),1)</f>
        <v>N</v>
      </c>
      <c r="K982" s="1" t="str">
        <f t="shared" si="16"/>
        <v>N</v>
      </c>
      <c r="L982" s="1" t="str">
        <f>RIGHT(Table1[[#This Row],[Item]],2)</f>
        <v>DG</v>
      </c>
      <c r="M982" s="1" t="s">
        <v>33</v>
      </c>
      <c r="N982" s="3" t="s">
        <v>1003</v>
      </c>
      <c r="O982" s="1"/>
    </row>
    <row r="983" spans="1:15" ht="15" customHeight="1">
      <c r="A983" t="s">
        <v>1004</v>
      </c>
      <c r="B983" s="1" t="str">
        <f>LEFT(Table1[[#This Row],[Item]], FIND("-", Table1[[#This Row],[Item]]) - 1)</f>
        <v>GX10</v>
      </c>
      <c r="C983" s="1" t="str">
        <f>MID(LEFT(Table1[[#This Row],[Item]], FIND("{token}", SUBSTITUTE(Table1[[#This Row],[Item]], "-", "{token}", 2)) - 1), FIND("-", Table1[[#This Row],[Item]]) + 1, LEN(Table1[[#This Row],[Item]]))</f>
        <v>DXL</v>
      </c>
      <c r="D98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8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83" s="1" cm="1">
        <f t="array" ref="F983">VALUE(INDEX(_xlfn.TEXTSPLIT(Table1[[#This Row],[Item]], "-"), 5))</f>
        <v>1</v>
      </c>
      <c r="G983" s="1" cm="1">
        <f t="array" ref="G983">VALUE(INDEX(_xlfn.TEXTSPLIT(Table1[[#This Row],[Item]], "-"), 6))</f>
        <v>1</v>
      </c>
      <c r="H983" s="1" cm="1">
        <f t="array" ref="H983">VALUE(INDEX(_xlfn.TEXTSPLIT(Table1[[#This Row],[Item]], "-"), 7))</f>
        <v>1</v>
      </c>
      <c r="I98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83" s="1" t="str">
        <f>LEFT(RIGHT(Table1[[#This Row],[Item]],6),1)</f>
        <v>N</v>
      </c>
      <c r="K983" s="1" t="str">
        <f t="shared" si="16"/>
        <v>N</v>
      </c>
      <c r="L983" s="1" t="str">
        <f>RIGHT(Table1[[#This Row],[Item]],2)</f>
        <v>DG</v>
      </c>
      <c r="M983" s="1" t="s">
        <v>33</v>
      </c>
      <c r="N983" s="3" t="s">
        <v>1004</v>
      </c>
      <c r="O983" s="1"/>
    </row>
    <row r="984" spans="1:15" ht="15" customHeight="1">
      <c r="A984" t="s">
        <v>1005</v>
      </c>
      <c r="B984" s="1" t="str">
        <f>LEFT(Table1[[#This Row],[Item]], FIND("-", Table1[[#This Row],[Item]]) - 1)</f>
        <v>ARB8</v>
      </c>
      <c r="C984" s="1" t="str">
        <f>MID(LEFT(Table1[[#This Row],[Item]], FIND("{token}", SUBSTITUTE(Table1[[#This Row],[Item]], "-", "{token}", 2)) - 1), FIND("-", Table1[[#This Row],[Item]]) + 1, LEN(Table1[[#This Row],[Item]]))</f>
        <v>L</v>
      </c>
      <c r="D984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98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84" s="1" cm="1">
        <f t="array" ref="F984">VALUE(INDEX(_xlfn.TEXTSPLIT(Table1[[#This Row],[Item]], "-"), 5))</f>
        <v>1</v>
      </c>
      <c r="G984" s="1" cm="1">
        <f t="array" ref="G984">VALUE(INDEX(_xlfn.TEXTSPLIT(Table1[[#This Row],[Item]], "-"), 6))</f>
        <v>1</v>
      </c>
      <c r="H984" s="1" cm="1">
        <f t="array" ref="H984">VALUE(INDEX(_xlfn.TEXTSPLIT(Table1[[#This Row],[Item]], "-"), 7))</f>
        <v>0</v>
      </c>
      <c r="I984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984" s="1" t="str">
        <f>LEFT(RIGHT(Table1[[#This Row],[Item]],6),1)</f>
        <v>Y</v>
      </c>
      <c r="K984" s="1" t="str">
        <f t="shared" si="16"/>
        <v>N</v>
      </c>
      <c r="L984" s="1" t="str">
        <f>RIGHT(Table1[[#This Row],[Item]],2)</f>
        <v>DG</v>
      </c>
      <c r="M984" s="1" t="s">
        <v>33</v>
      </c>
      <c r="N984" s="3" t="s">
        <v>1005</v>
      </c>
      <c r="O984" s="1"/>
    </row>
    <row r="985" spans="1:15" ht="15" customHeight="1">
      <c r="A985" t="s">
        <v>1006</v>
      </c>
      <c r="B985" s="1" t="str">
        <f>LEFT(Table1[[#This Row],[Item]], FIND("-", Table1[[#This Row],[Item]]) - 1)</f>
        <v>GX10</v>
      </c>
      <c r="C985" s="1" t="str">
        <f>MID(LEFT(Table1[[#This Row],[Item]], FIND("{token}", SUBSTITUTE(Table1[[#This Row],[Item]], "-", "{token}", 2)) - 1), FIND("-", Table1[[#This Row],[Item]]) + 1, LEN(Table1[[#This Row],[Item]]))</f>
        <v>CXL</v>
      </c>
      <c r="D985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98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985" s="1" cm="1">
        <f t="array" ref="F985">VALUE(INDEX(_xlfn.TEXTSPLIT(Table1[[#This Row],[Item]], "-"), 5))</f>
        <v>1</v>
      </c>
      <c r="G985" s="1" cm="1">
        <f t="array" ref="G985">VALUE(INDEX(_xlfn.TEXTSPLIT(Table1[[#This Row],[Item]], "-"), 6))</f>
        <v>2</v>
      </c>
      <c r="H985" s="1" cm="1">
        <f t="array" ref="H985">VALUE(INDEX(_xlfn.TEXTSPLIT(Table1[[#This Row],[Item]], "-"), 7))</f>
        <v>0</v>
      </c>
      <c r="I98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85" s="1" t="str">
        <f>LEFT(RIGHT(Table1[[#This Row],[Item]],6),1)</f>
        <v>N</v>
      </c>
      <c r="K985" s="1" t="str">
        <f t="shared" si="16"/>
        <v>N</v>
      </c>
      <c r="L985" s="1" t="str">
        <f>RIGHT(Table1[[#This Row],[Item]],2)</f>
        <v>DG</v>
      </c>
      <c r="M985" s="1" t="s">
        <v>33</v>
      </c>
      <c r="N985" s="3" t="s">
        <v>1006</v>
      </c>
      <c r="O985" s="1"/>
    </row>
    <row r="986" spans="1:15" ht="15" customHeight="1">
      <c r="A986" t="s">
        <v>1007</v>
      </c>
      <c r="B986" s="1" t="str">
        <f>LEFT(Table1[[#This Row],[Item]], FIND("-", Table1[[#This Row],[Item]]) - 1)</f>
        <v>GX10</v>
      </c>
      <c r="C986" s="1" t="str">
        <f>MID(LEFT(Table1[[#This Row],[Item]], FIND("{token}", SUBSTITUTE(Table1[[#This Row],[Item]], "-", "{token}", 2)) - 1), FIND("-", Table1[[#This Row],[Item]]) + 1, LEN(Table1[[#This Row],[Item]]))</f>
        <v>R</v>
      </c>
      <c r="D986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98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986" s="1" cm="1">
        <f t="array" ref="F986">VALUE(INDEX(_xlfn.TEXTSPLIT(Table1[[#This Row],[Item]], "-"), 5))</f>
        <v>1</v>
      </c>
      <c r="G986" s="1" cm="1">
        <f t="array" ref="G986">VALUE(INDEX(_xlfn.TEXTSPLIT(Table1[[#This Row],[Item]], "-"), 6))</f>
        <v>2</v>
      </c>
      <c r="H986" s="1" cm="1">
        <f t="array" ref="H986">VALUE(INDEX(_xlfn.TEXTSPLIT(Table1[[#This Row],[Item]], "-"), 7))</f>
        <v>0</v>
      </c>
      <c r="I98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86" s="1" t="str">
        <f>LEFT(RIGHT(Table1[[#This Row],[Item]],6),1)</f>
        <v>N</v>
      </c>
      <c r="K986" s="1" t="str">
        <f t="shared" ref="K986:K997" si="17">MID(A986, LEN(A986)-3, 1)</f>
        <v>N</v>
      </c>
      <c r="L986" s="1" t="str">
        <f>RIGHT(Table1[[#This Row],[Item]],2)</f>
        <v>DG</v>
      </c>
      <c r="M986" s="1" t="s">
        <v>33</v>
      </c>
      <c r="N986" s="3" t="s">
        <v>1007</v>
      </c>
      <c r="O986" s="1"/>
    </row>
    <row r="987" spans="1:15" ht="15" customHeight="1">
      <c r="A987" t="s">
        <v>1008</v>
      </c>
      <c r="B987" s="1" t="str">
        <f>LEFT(Table1[[#This Row],[Item]], FIND("-", Table1[[#This Row],[Item]]) - 1)</f>
        <v>PRT9</v>
      </c>
      <c r="C987" s="1" t="str">
        <f>MID(LEFT(Table1[[#This Row],[Item]], FIND("{token}", SUBSTITUTE(Table1[[#This Row],[Item]], "-", "{token}", 2)) - 1), FIND("-", Table1[[#This Row],[Item]]) + 1, LEN(Table1[[#This Row],[Item]]))</f>
        <v>N</v>
      </c>
      <c r="D98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8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987" s="1" cm="1">
        <f t="array" ref="F987">VALUE(INDEX(_xlfn.TEXTSPLIT(Table1[[#This Row],[Item]], "-"), 5))</f>
        <v>2</v>
      </c>
      <c r="G987" s="1" cm="1">
        <f t="array" ref="G987">VALUE(INDEX(_xlfn.TEXTSPLIT(Table1[[#This Row],[Item]], "-"), 6))</f>
        <v>0</v>
      </c>
      <c r="H987" s="1" cm="1">
        <f t="array" ref="H987">VALUE(INDEX(_xlfn.TEXTSPLIT(Table1[[#This Row],[Item]], "-"), 7))</f>
        <v>0</v>
      </c>
      <c r="I987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987" s="1" t="str">
        <f>LEFT(RIGHT(Table1[[#This Row],[Item]],6),1)</f>
        <v>Y</v>
      </c>
      <c r="K987" s="1" t="str">
        <f t="shared" si="17"/>
        <v>Y</v>
      </c>
      <c r="L987" s="1" t="str">
        <f>RIGHT(Table1[[#This Row],[Item]],2)</f>
        <v>DG</v>
      </c>
      <c r="M987" s="1" t="s">
        <v>33</v>
      </c>
      <c r="N987" s="3" t="s">
        <v>1008</v>
      </c>
      <c r="O987" s="1"/>
    </row>
    <row r="988" spans="1:15" ht="15" customHeight="1">
      <c r="A988" t="s">
        <v>1009</v>
      </c>
      <c r="B988" s="1" t="str">
        <f>LEFT(Table1[[#This Row],[Item]], FIND("-", Table1[[#This Row],[Item]]) - 1)</f>
        <v>ARB8</v>
      </c>
      <c r="C988" s="1" t="str">
        <f>MID(LEFT(Table1[[#This Row],[Item]], FIND("{token}", SUBSTITUTE(Table1[[#This Row],[Item]], "-", "{token}", 2)) - 1), FIND("-", Table1[[#This Row],[Item]]) + 1, LEN(Table1[[#This Row],[Item]]))</f>
        <v>LXL</v>
      </c>
      <c r="D988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8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88" s="1" cm="1">
        <f t="array" ref="F988">VALUE(INDEX(_xlfn.TEXTSPLIT(Table1[[#This Row],[Item]], "-"), 5))</f>
        <v>1</v>
      </c>
      <c r="G988" s="1" cm="1">
        <f t="array" ref="G988">VALUE(INDEX(_xlfn.TEXTSPLIT(Table1[[#This Row],[Item]], "-"), 6))</f>
        <v>0</v>
      </c>
      <c r="H988" s="1" cm="1">
        <f t="array" ref="H988">VALUE(INDEX(_xlfn.TEXTSPLIT(Table1[[#This Row],[Item]], "-"), 7))</f>
        <v>0</v>
      </c>
      <c r="I988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988" s="1" t="str">
        <f>LEFT(RIGHT(Table1[[#This Row],[Item]],6),1)</f>
        <v>Y</v>
      </c>
      <c r="K988" s="1" t="str">
        <f t="shared" si="17"/>
        <v>N</v>
      </c>
      <c r="L988" s="1" t="str">
        <f>RIGHT(Table1[[#This Row],[Item]],2)</f>
        <v>DG</v>
      </c>
      <c r="M988" s="1" t="s">
        <v>33</v>
      </c>
      <c r="N988" s="3" t="s">
        <v>1009</v>
      </c>
      <c r="O988" s="1"/>
    </row>
    <row r="989" spans="1:15" ht="15" customHeight="1">
      <c r="A989" t="s">
        <v>1010</v>
      </c>
      <c r="B989" s="1" t="str">
        <f>LEFT(Table1[[#This Row],[Item]], FIND("-", Table1[[#This Row],[Item]]) - 1)</f>
        <v>GX06</v>
      </c>
      <c r="C989" s="1" t="str">
        <f>MID(LEFT(Table1[[#This Row],[Item]], FIND("{token}", SUBSTITUTE(Table1[[#This Row],[Item]], "-", "{token}", 2)) - 1), FIND("-", Table1[[#This Row],[Item]]) + 1, LEN(Table1[[#This Row],[Item]]))</f>
        <v>R</v>
      </c>
      <c r="D98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98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89" s="1" cm="1">
        <f t="array" ref="F989">VALUE(INDEX(_xlfn.TEXTSPLIT(Table1[[#This Row],[Item]], "-"), 5))</f>
        <v>0</v>
      </c>
      <c r="G989" s="1" cm="1">
        <f t="array" ref="G989">VALUE(INDEX(_xlfn.TEXTSPLIT(Table1[[#This Row],[Item]], "-"), 6))</f>
        <v>1</v>
      </c>
      <c r="H989" s="1" cm="1">
        <f t="array" ref="H989">VALUE(INDEX(_xlfn.TEXTSPLIT(Table1[[#This Row],[Item]], "-"), 7))</f>
        <v>0</v>
      </c>
      <c r="I98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89" s="1" t="str">
        <f>LEFT(RIGHT(Table1[[#This Row],[Item]],6),1)</f>
        <v>N</v>
      </c>
      <c r="K989" s="1" t="str">
        <f t="shared" si="17"/>
        <v>N</v>
      </c>
      <c r="L989" s="1" t="str">
        <f>RIGHT(Table1[[#This Row],[Item]],2)</f>
        <v>DG</v>
      </c>
      <c r="M989" s="1" t="s">
        <v>33</v>
      </c>
      <c r="N989" s="3" t="s">
        <v>1010</v>
      </c>
      <c r="O989" s="1"/>
    </row>
    <row r="990" spans="1:15" ht="15" customHeight="1">
      <c r="A990" t="s">
        <v>1011</v>
      </c>
      <c r="B990" s="1" t="str">
        <f>LEFT(Table1[[#This Row],[Item]], FIND("-", Table1[[#This Row],[Item]]) - 1)</f>
        <v>GX12</v>
      </c>
      <c r="C990" s="1" t="str">
        <f>MID(LEFT(Table1[[#This Row],[Item]], FIND("{token}", SUBSTITUTE(Table1[[#This Row],[Item]], "-", "{token}", 2)) - 1), FIND("-", Table1[[#This Row],[Item]]) + 1, LEN(Table1[[#This Row],[Item]]))</f>
        <v>CXL</v>
      </c>
      <c r="D990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9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990" s="1" cm="1">
        <f t="array" ref="F990">VALUE(INDEX(_xlfn.TEXTSPLIT(Table1[[#This Row],[Item]], "-"), 5))</f>
        <v>2</v>
      </c>
      <c r="G990" s="1" cm="1">
        <f t="array" ref="G990">VALUE(INDEX(_xlfn.TEXTSPLIT(Table1[[#This Row],[Item]], "-"), 6))</f>
        <v>2</v>
      </c>
      <c r="H990" s="1" cm="1">
        <f t="array" ref="H990">VALUE(INDEX(_xlfn.TEXTSPLIT(Table1[[#This Row],[Item]], "-"), 7))</f>
        <v>1</v>
      </c>
      <c r="I99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90" s="1" t="str">
        <f>LEFT(RIGHT(Table1[[#This Row],[Item]],6),1)</f>
        <v>N</v>
      </c>
      <c r="K990" s="1" t="str">
        <f t="shared" si="17"/>
        <v>N</v>
      </c>
      <c r="L990" s="1" t="str">
        <f>RIGHT(Table1[[#This Row],[Item]],2)</f>
        <v>DG</v>
      </c>
      <c r="M990" s="1" t="s">
        <v>33</v>
      </c>
      <c r="N990" s="3" t="s">
        <v>1011</v>
      </c>
      <c r="O990" s="1"/>
    </row>
    <row r="991" spans="1:15" ht="15" customHeight="1">
      <c r="A991" t="s">
        <v>1012</v>
      </c>
      <c r="B991" s="1" t="str">
        <f>LEFT(Table1[[#This Row],[Item]], FIND("-", Table1[[#This Row],[Item]]) - 1)</f>
        <v>GX09</v>
      </c>
      <c r="C991" s="1" t="str">
        <f>MID(LEFT(Table1[[#This Row],[Item]], FIND("{token}", SUBSTITUTE(Table1[[#This Row],[Item]], "-", "{token}", 2)) - 1), FIND("-", Table1[[#This Row],[Item]]) + 1, LEN(Table1[[#This Row],[Item]]))</f>
        <v>D</v>
      </c>
      <c r="D99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9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91" s="1" cm="1">
        <f t="array" ref="F991">VALUE(INDEX(_xlfn.TEXTSPLIT(Table1[[#This Row],[Item]], "-"), 5))</f>
        <v>0</v>
      </c>
      <c r="G991" s="1" cm="1">
        <f t="array" ref="G991">VALUE(INDEX(_xlfn.TEXTSPLIT(Table1[[#This Row],[Item]], "-"), 6))</f>
        <v>1</v>
      </c>
      <c r="H991" s="1" cm="1">
        <f t="array" ref="H991">VALUE(INDEX(_xlfn.TEXTSPLIT(Table1[[#This Row],[Item]], "-"), 7))</f>
        <v>1</v>
      </c>
      <c r="I99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91" s="1" t="str">
        <f>LEFT(RIGHT(Table1[[#This Row],[Item]],6),1)</f>
        <v>N</v>
      </c>
      <c r="K991" s="1" t="str">
        <f t="shared" si="17"/>
        <v>N</v>
      </c>
      <c r="L991" s="1" t="str">
        <f>RIGHT(Table1[[#This Row],[Item]],2)</f>
        <v>DG</v>
      </c>
      <c r="M991" s="1" t="s">
        <v>33</v>
      </c>
      <c r="N991" s="3" t="s">
        <v>1012</v>
      </c>
      <c r="O991" s="1"/>
    </row>
    <row r="992" spans="1:15" ht="15" customHeight="1">
      <c r="A992" t="s">
        <v>1013</v>
      </c>
      <c r="B992" s="1" t="str">
        <f>LEFT(Table1[[#This Row],[Item]], FIND("-", Table1[[#This Row],[Item]]) - 1)</f>
        <v>GX09</v>
      </c>
      <c r="C992" s="1" t="str">
        <f>MID(LEFT(Table1[[#This Row],[Item]], FIND("{token}", SUBSTITUTE(Table1[[#This Row],[Item]], "-", "{token}", 2)) - 1), FIND("-", Table1[[#This Row],[Item]]) + 1, LEN(Table1[[#This Row],[Item]]))</f>
        <v>L</v>
      </c>
      <c r="D992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99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92" s="1" cm="1">
        <f t="array" ref="F992">VALUE(INDEX(_xlfn.TEXTSPLIT(Table1[[#This Row],[Item]], "-"), 5))</f>
        <v>1</v>
      </c>
      <c r="G992" s="1" cm="1">
        <f t="array" ref="G992">VALUE(INDEX(_xlfn.TEXTSPLIT(Table1[[#This Row],[Item]], "-"), 6))</f>
        <v>2</v>
      </c>
      <c r="H992" s="1" cm="1">
        <f t="array" ref="H992">VALUE(INDEX(_xlfn.TEXTSPLIT(Table1[[#This Row],[Item]], "-"), 7))</f>
        <v>0</v>
      </c>
      <c r="I99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92" s="1" t="str">
        <f>LEFT(RIGHT(Table1[[#This Row],[Item]],6),1)</f>
        <v>N</v>
      </c>
      <c r="K992" s="1" t="str">
        <f t="shared" si="17"/>
        <v>N</v>
      </c>
      <c r="L992" s="1" t="str">
        <f>RIGHT(Table1[[#This Row],[Item]],2)</f>
        <v>DG</v>
      </c>
      <c r="M992" s="1" t="s">
        <v>33</v>
      </c>
      <c r="N992" s="3" t="s">
        <v>1013</v>
      </c>
      <c r="O992" s="1"/>
    </row>
    <row r="993" spans="1:15" ht="15" customHeight="1">
      <c r="A993" t="s">
        <v>1014</v>
      </c>
      <c r="B993" s="1" t="str">
        <f>LEFT(Table1[[#This Row],[Item]], FIND("-", Table1[[#This Row],[Item]]) - 1)</f>
        <v>GX12</v>
      </c>
      <c r="C993" s="1" t="str">
        <f>MID(LEFT(Table1[[#This Row],[Item]], FIND("{token}", SUBSTITUTE(Table1[[#This Row],[Item]], "-", "{token}", 2)) - 1), FIND("-", Table1[[#This Row],[Item]]) + 1, LEN(Table1[[#This Row],[Item]]))</f>
        <v>D</v>
      </c>
      <c r="D993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99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93" s="1" cm="1">
        <f t="array" ref="F993">VALUE(INDEX(_xlfn.TEXTSPLIT(Table1[[#This Row],[Item]], "-"), 5))</f>
        <v>1</v>
      </c>
      <c r="G993" s="1" cm="1">
        <f t="array" ref="G993">VALUE(INDEX(_xlfn.TEXTSPLIT(Table1[[#This Row],[Item]], "-"), 6))</f>
        <v>1</v>
      </c>
      <c r="H993" s="1" cm="1">
        <f t="array" ref="H993">VALUE(INDEX(_xlfn.TEXTSPLIT(Table1[[#This Row],[Item]], "-"), 7))</f>
        <v>1</v>
      </c>
      <c r="I99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93" s="1" t="str">
        <f>LEFT(RIGHT(Table1[[#This Row],[Item]],6),1)</f>
        <v>N</v>
      </c>
      <c r="K993" s="1" t="str">
        <f t="shared" si="17"/>
        <v>N</v>
      </c>
      <c r="L993" s="1" t="str">
        <f>RIGHT(Table1[[#This Row],[Item]],2)</f>
        <v>DG</v>
      </c>
      <c r="M993" s="1" t="s">
        <v>33</v>
      </c>
      <c r="N993" s="3" t="s">
        <v>1014</v>
      </c>
      <c r="O993" s="1"/>
    </row>
    <row r="994" spans="1:15" ht="15" customHeight="1">
      <c r="A994" t="s">
        <v>1015</v>
      </c>
      <c r="B994" s="1" t="str">
        <f>LEFT(Table1[[#This Row],[Item]], FIND("-", Table1[[#This Row],[Item]]) - 1)</f>
        <v>GX14</v>
      </c>
      <c r="C994" s="1" t="str">
        <f>MID(LEFT(Table1[[#This Row],[Item]], FIND("{token}", SUBSTITUTE(Table1[[#This Row],[Item]], "-", "{token}", 2)) - 1), FIND("-", Table1[[#This Row],[Item]]) + 1, LEN(Table1[[#This Row],[Item]]))</f>
        <v>D</v>
      </c>
      <c r="D994" s="1" t="str">
        <f>MID(LEFT(Table1[[#This Row],[Item]], FIND("{token}", SUBSTITUTE(Table1[[#This Row],[Item]], "-", "{token}", 3)) - 1), FIND("{token}", SUBSTITUTE(Table1[[#This Row],[Item]], "-", "{token}", 2)) + 1, LEN(Table1[[#This Row],[Item]]))</f>
        <v>PL</v>
      </c>
      <c r="E99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94" s="1" cm="1">
        <f t="array" ref="F994">VALUE(INDEX(_xlfn.TEXTSPLIT(Table1[[#This Row],[Item]], "-"), 5))</f>
        <v>2</v>
      </c>
      <c r="G994" s="1" cm="1">
        <f t="array" ref="G994">VALUE(INDEX(_xlfn.TEXTSPLIT(Table1[[#This Row],[Item]], "-"), 6))</f>
        <v>1</v>
      </c>
      <c r="H994" s="1" cm="1">
        <f t="array" ref="H994">VALUE(INDEX(_xlfn.TEXTSPLIT(Table1[[#This Row],[Item]], "-"), 7))</f>
        <v>1</v>
      </c>
      <c r="I99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94" s="1" t="str">
        <f>LEFT(RIGHT(Table1[[#This Row],[Item]],6),1)</f>
        <v>N</v>
      </c>
      <c r="K994" s="1" t="str">
        <f t="shared" si="17"/>
        <v>N</v>
      </c>
      <c r="L994" s="1" t="str">
        <f>RIGHT(Table1[[#This Row],[Item]],2)</f>
        <v>DG</v>
      </c>
      <c r="M994" s="1" t="s">
        <v>33</v>
      </c>
      <c r="N994" s="3" t="s">
        <v>1015</v>
      </c>
      <c r="O994" s="1"/>
    </row>
    <row r="995" spans="1:15" ht="15" customHeight="1">
      <c r="A995" t="s">
        <v>1016</v>
      </c>
      <c r="B995" s="1" t="str">
        <f>LEFT(Table1[[#This Row],[Item]], FIND("-", Table1[[#This Row],[Item]]) - 1)</f>
        <v>MA12</v>
      </c>
      <c r="C995" s="1" t="str">
        <f>MID(LEFT(Table1[[#This Row],[Item]], FIND("{token}", SUBSTITUTE(Table1[[#This Row],[Item]], "-", "{token}", 2)) - 1), FIND("-", Table1[[#This Row],[Item]]) + 1, LEN(Table1[[#This Row],[Item]]))</f>
        <v>CXL</v>
      </c>
      <c r="D99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99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95" s="1" cm="1">
        <f t="array" ref="F995">VALUE(INDEX(_xlfn.TEXTSPLIT(Table1[[#This Row],[Item]], "-"), 5))</f>
        <v>2</v>
      </c>
      <c r="G995" s="1" cm="1">
        <f t="array" ref="G995">VALUE(INDEX(_xlfn.TEXTSPLIT(Table1[[#This Row],[Item]], "-"), 6))</f>
        <v>1</v>
      </c>
      <c r="H995" s="1" cm="1">
        <f t="array" ref="H995">VALUE(INDEX(_xlfn.TEXTSPLIT(Table1[[#This Row],[Item]], "-"), 7))</f>
        <v>0</v>
      </c>
      <c r="I995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995" s="1" t="str">
        <f>LEFT(RIGHT(Table1[[#This Row],[Item]],6),1)</f>
        <v>Y</v>
      </c>
      <c r="K995" s="1" t="str">
        <f t="shared" si="17"/>
        <v>Y</v>
      </c>
      <c r="L995" s="1" t="str">
        <f>RIGHT(Table1[[#This Row],[Item]],2)</f>
        <v>DG</v>
      </c>
      <c r="M995" s="1" t="s">
        <v>33</v>
      </c>
      <c r="N995" t="s">
        <v>1016</v>
      </c>
      <c r="O995" s="1"/>
    </row>
    <row r="996" spans="1:15" ht="15" customHeight="1">
      <c r="A996" t="s">
        <v>1017</v>
      </c>
      <c r="B996" s="1" t="str">
        <f>LEFT(Table1[[#This Row],[Item]], FIND("-", Table1[[#This Row],[Item]]) - 1)</f>
        <v>GX12</v>
      </c>
      <c r="C996" s="1" t="str">
        <f>MID(LEFT(Table1[[#This Row],[Item]], FIND("{token}", SUBSTITUTE(Table1[[#This Row],[Item]], "-", "{token}", 2)) - 1), FIND("-", Table1[[#This Row],[Item]]) + 1, LEN(Table1[[#This Row],[Item]]))</f>
        <v>LXL</v>
      </c>
      <c r="D996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99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996" s="1" cm="1">
        <f t="array" ref="F996">VALUE(INDEX(_xlfn.TEXTSPLIT(Table1[[#This Row],[Item]], "-"), 5))</f>
        <v>1</v>
      </c>
      <c r="G996" s="1" cm="1">
        <f t="array" ref="G996">VALUE(INDEX(_xlfn.TEXTSPLIT(Table1[[#This Row],[Item]], "-"), 6))</f>
        <v>2</v>
      </c>
      <c r="H996" s="1" cm="1">
        <f t="array" ref="H996">VALUE(INDEX(_xlfn.TEXTSPLIT(Table1[[#This Row],[Item]], "-"), 7))</f>
        <v>1</v>
      </c>
      <c r="I99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96" s="1" t="str">
        <f>LEFT(RIGHT(Table1[[#This Row],[Item]],6),1)</f>
        <v>N</v>
      </c>
      <c r="K996" s="1" t="str">
        <f t="shared" si="17"/>
        <v>N</v>
      </c>
      <c r="L996" s="1" t="str">
        <f>RIGHT(Table1[[#This Row],[Item]],2)</f>
        <v>DG</v>
      </c>
      <c r="M996" s="1" t="s">
        <v>33</v>
      </c>
      <c r="N996" s="3" t="s">
        <v>1017</v>
      </c>
      <c r="O996" s="1"/>
    </row>
    <row r="997" spans="1:15" ht="15" customHeight="1">
      <c r="A997" t="s">
        <v>1018</v>
      </c>
      <c r="B997" s="1" t="str">
        <f>LEFT(Table1[[#This Row],[Item]], FIND("-", Table1[[#This Row],[Item]]) - 1)</f>
        <v>GX09</v>
      </c>
      <c r="C997" s="1" t="str">
        <f>MID(LEFT(Table1[[#This Row],[Item]], FIND("{token}", SUBSTITUTE(Table1[[#This Row],[Item]], "-", "{token}", 2)) - 1), FIND("-", Table1[[#This Row],[Item]]) + 1, LEN(Table1[[#This Row],[Item]]))</f>
        <v>L</v>
      </c>
      <c r="D997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99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997" s="1" cm="1">
        <f t="array" ref="F997">VALUE(INDEX(_xlfn.TEXTSPLIT(Table1[[#This Row],[Item]], "-"), 5))</f>
        <v>1</v>
      </c>
      <c r="G997" s="1" cm="1">
        <f t="array" ref="G997">VALUE(INDEX(_xlfn.TEXTSPLIT(Table1[[#This Row],[Item]], "-"), 6))</f>
        <v>2</v>
      </c>
      <c r="H997" s="1" cm="1">
        <f t="array" ref="H997">VALUE(INDEX(_xlfn.TEXTSPLIT(Table1[[#This Row],[Item]], "-"), 7))</f>
        <v>0</v>
      </c>
      <c r="I99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97" s="1" t="str">
        <f>LEFT(RIGHT(Table1[[#This Row],[Item]],6),1)</f>
        <v>N</v>
      </c>
      <c r="K997" s="1" t="str">
        <f t="shared" si="17"/>
        <v>N</v>
      </c>
      <c r="L997" s="1" t="str">
        <f>RIGHT(Table1[[#This Row],[Item]],2)</f>
        <v>DG</v>
      </c>
      <c r="M997" s="1" t="s">
        <v>33</v>
      </c>
      <c r="N997" s="3" t="s">
        <v>1018</v>
      </c>
      <c r="O997" s="1"/>
    </row>
    <row r="998" spans="1:15" ht="15" customHeight="1">
      <c r="A998" t="s">
        <v>1019</v>
      </c>
      <c r="B998" s="1" t="str">
        <f>LEFT(Table1[[#This Row],[Item]], FIND("-", Table1[[#This Row],[Item]]) - 1)</f>
        <v>GX09</v>
      </c>
      <c r="C998" s="1" t="str">
        <f>MID(LEFT(Table1[[#This Row],[Item]], FIND("{token}", SUBSTITUTE(Table1[[#This Row],[Item]], "-", "{token}", 2)) - 1), FIND("-", Table1[[#This Row],[Item]]) + 1, LEN(Table1[[#This Row],[Item]]))</f>
        <v>C</v>
      </c>
      <c r="D998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99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98" s="1" cm="1">
        <f t="array" ref="F998">VALUE(INDEX(_xlfn.TEXTSPLIT(Table1[[#This Row],[Item]], "-"), 5))</f>
        <v>1</v>
      </c>
      <c r="G998" s="1" cm="1">
        <f t="array" ref="G998">VALUE(INDEX(_xlfn.TEXTSPLIT(Table1[[#This Row],[Item]], "-"), 6))</f>
        <v>2</v>
      </c>
      <c r="H998" s="1" cm="1">
        <f t="array" ref="H998">VALUE(INDEX(_xlfn.TEXTSPLIT(Table1[[#This Row],[Item]], "-"), 7))</f>
        <v>0</v>
      </c>
      <c r="I99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98" s="1" t="str">
        <f>LEFT(RIGHT(Table1[[#This Row],[Item]],6),1)</f>
        <v>N</v>
      </c>
      <c r="K998" s="1" t="str">
        <f>MID(A998, LEN(A998)-3, 1)</f>
        <v>N</v>
      </c>
      <c r="L998" s="1" t="str">
        <f>RIGHT(Table1[[#This Row],[Item]],2)</f>
        <v>CA</v>
      </c>
      <c r="M998" s="1" t="s">
        <v>33</v>
      </c>
      <c r="N998" t="s">
        <v>1019</v>
      </c>
      <c r="O998" s="1"/>
    </row>
    <row r="999" spans="1:15" ht="15" customHeight="1">
      <c r="A999" t="s">
        <v>1020</v>
      </c>
      <c r="B999" s="1" t="str">
        <f>LEFT(Table1[[#This Row],[Item]], FIND("-", Table1[[#This Row],[Item]]) - 1)</f>
        <v>GX10</v>
      </c>
      <c r="C999" s="1" t="str">
        <f>MID(LEFT(Table1[[#This Row],[Item]], FIND("{token}", SUBSTITUTE(Table1[[#This Row],[Item]], "-", "{token}", 2)) - 1), FIND("-", Table1[[#This Row],[Item]]) + 1, LEN(Table1[[#This Row],[Item]]))</f>
        <v>RXL</v>
      </c>
      <c r="D999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99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999" s="1" cm="1">
        <f t="array" ref="F999">VALUE(INDEX(_xlfn.TEXTSPLIT(Table1[[#This Row],[Item]], "-"), 5))</f>
        <v>1</v>
      </c>
      <c r="G999" s="1" cm="1">
        <f t="array" ref="G999">VALUE(INDEX(_xlfn.TEXTSPLIT(Table1[[#This Row],[Item]], "-"), 6))</f>
        <v>2</v>
      </c>
      <c r="H999" s="1" cm="1">
        <f t="array" ref="H999">VALUE(INDEX(_xlfn.TEXTSPLIT(Table1[[#This Row],[Item]], "-"), 7))</f>
        <v>0</v>
      </c>
      <c r="I99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999" s="1" t="str">
        <f>LEFT(RIGHT(Table1[[#This Row],[Item]],6),1)</f>
        <v>N</v>
      </c>
      <c r="K999" s="1" t="str">
        <f>MID(A999, LEN(A999)-3, 1)</f>
        <v>N</v>
      </c>
      <c r="L999" s="1" t="str">
        <f>RIGHT(Table1[[#This Row],[Item]],2)</f>
        <v>CA</v>
      </c>
      <c r="M999" s="1" t="s">
        <v>33</v>
      </c>
      <c r="N999" t="s">
        <v>1020</v>
      </c>
      <c r="O999" s="1"/>
    </row>
    <row r="1000" spans="1:15" ht="15" customHeight="1">
      <c r="A1000" t="s">
        <v>1021</v>
      </c>
      <c r="B1000" s="1" t="str">
        <f>LEFT(Table1[[#This Row],[Item]], FIND("-", Table1[[#This Row],[Item]]) - 1)</f>
        <v>GX14</v>
      </c>
      <c r="C1000" s="1" t="str">
        <f>MID(LEFT(Table1[[#This Row],[Item]], FIND("{token}", SUBSTITUTE(Table1[[#This Row],[Item]], "-", "{token}", 2)) - 1), FIND("-", Table1[[#This Row],[Item]]) + 1, LEN(Table1[[#This Row],[Item]]))</f>
        <v>L</v>
      </c>
      <c r="D1000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100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000" s="1" cm="1">
        <f t="array" ref="F1000">VALUE(INDEX(_xlfn.TEXTSPLIT(Table1[[#This Row],[Item]], "-"), 5))</f>
        <v>2</v>
      </c>
      <c r="G1000" s="1" cm="1">
        <f t="array" ref="G1000">VALUE(INDEX(_xlfn.TEXTSPLIT(Table1[[#This Row],[Item]], "-"), 6))</f>
        <v>2</v>
      </c>
      <c r="H1000" s="1" cm="1">
        <f t="array" ref="H1000">VALUE(INDEX(_xlfn.TEXTSPLIT(Table1[[#This Row],[Item]], "-"), 7))</f>
        <v>0</v>
      </c>
      <c r="I100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00" s="1" t="str">
        <f>LEFT(RIGHT(Table1[[#This Row],[Item]],6),1)</f>
        <v>N</v>
      </c>
      <c r="K1000" s="1" t="str">
        <f>MID(A1000, LEN(A1000)-3, 1)</f>
        <v>N</v>
      </c>
      <c r="L1000" s="1" t="str">
        <f>RIGHT(Table1[[#This Row],[Item]],2)</f>
        <v>CA</v>
      </c>
      <c r="M1000" s="1" t="s">
        <v>33</v>
      </c>
      <c r="N1000" t="s">
        <v>1021</v>
      </c>
      <c r="O1000" s="1"/>
    </row>
    <row r="1001" spans="1:15" ht="15" customHeight="1">
      <c r="A1001" t="s">
        <v>1022</v>
      </c>
      <c r="B1001" s="1" t="str">
        <f>LEFT(Table1[[#This Row],[Item]], FIND("-", Table1[[#This Row],[Item]]) - 1)</f>
        <v>GX10</v>
      </c>
      <c r="C1001" s="1" t="str">
        <f>MID(LEFT(Table1[[#This Row],[Item]], FIND("{token}", SUBSTITUTE(Table1[[#This Row],[Item]], "-", "{token}", 2)) - 1), FIND("-", Table1[[#This Row],[Item]]) + 1, LEN(Table1[[#This Row],[Item]]))</f>
        <v>D</v>
      </c>
      <c r="D100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00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001" s="1" cm="1">
        <f t="array" ref="F1001">VALUE(INDEX(_xlfn.TEXTSPLIT(Table1[[#This Row],[Item]], "-"), 5))</f>
        <v>0</v>
      </c>
      <c r="G1001" s="1" cm="1">
        <f t="array" ref="G1001">VALUE(INDEX(_xlfn.TEXTSPLIT(Table1[[#This Row],[Item]], "-"), 6))</f>
        <v>2</v>
      </c>
      <c r="H1001" s="1" cm="1">
        <f t="array" ref="H1001">VALUE(INDEX(_xlfn.TEXTSPLIT(Table1[[#This Row],[Item]], "-"), 7))</f>
        <v>0</v>
      </c>
      <c r="I100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01" s="1" t="str">
        <f>LEFT(RIGHT(Table1[[#This Row],[Item]],6),1)</f>
        <v>N</v>
      </c>
      <c r="K1001" s="1" t="str">
        <f>MID(A1001, LEN(A1001)-3, 1)</f>
        <v>N</v>
      </c>
      <c r="L1001" s="1" t="str">
        <f>RIGHT(Table1[[#This Row],[Item]],2)</f>
        <v>CA</v>
      </c>
      <c r="M1001" s="1" t="s">
        <v>33</v>
      </c>
      <c r="N1001" t="s">
        <v>1022</v>
      </c>
      <c r="O1001" s="1"/>
    </row>
    <row r="1002" spans="1:15" ht="15" customHeight="1">
      <c r="A1002" t="s">
        <v>1023</v>
      </c>
      <c r="B1002" s="1" t="str">
        <f>LEFT(Table1[[#This Row],[Item]], FIND("-", Table1[[#This Row],[Item]]) - 1)</f>
        <v>GX09</v>
      </c>
      <c r="C1002" s="1" t="str">
        <f>MID(LEFT(Table1[[#This Row],[Item]], FIND("{token}", SUBSTITUTE(Table1[[#This Row],[Item]], "-", "{token}", 2)) - 1), FIND("-", Table1[[#This Row],[Item]]) + 1, LEN(Table1[[#This Row],[Item]]))</f>
        <v>L</v>
      </c>
      <c r="D100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00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002" s="1" cm="1">
        <f t="array" ref="F1002">VALUE(INDEX(_xlfn.TEXTSPLIT(Table1[[#This Row],[Item]], "-"), 5))</f>
        <v>1</v>
      </c>
      <c r="G1002" s="1" cm="1">
        <f t="array" ref="G1002">VALUE(INDEX(_xlfn.TEXTSPLIT(Table1[[#This Row],[Item]], "-"), 6))</f>
        <v>2</v>
      </c>
      <c r="H1002" s="1" cm="1">
        <f t="array" ref="H1002">VALUE(INDEX(_xlfn.TEXTSPLIT(Table1[[#This Row],[Item]], "-"), 7))</f>
        <v>0</v>
      </c>
      <c r="I1002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02" s="1" t="str">
        <f>LEFT(RIGHT(Table1[[#This Row],[Item]],6),1)</f>
        <v>N</v>
      </c>
      <c r="K1002" s="1" t="str">
        <f>MID(A1002, LEN(A1002)-3, 1)</f>
        <v>N</v>
      </c>
      <c r="L1002" s="1" t="str">
        <f>RIGHT(Table1[[#This Row],[Item]],2)</f>
        <v>CA</v>
      </c>
      <c r="M1002" s="1" t="s">
        <v>33</v>
      </c>
      <c r="N1002" t="s">
        <v>1023</v>
      </c>
      <c r="O1002" s="1"/>
    </row>
    <row r="1003" spans="1:15" ht="15" customHeight="1">
      <c r="A1003" t="s">
        <v>1024</v>
      </c>
      <c r="B1003" s="1" t="str">
        <f>LEFT(Table1[[#This Row],[Item]], FIND("-", Table1[[#This Row],[Item]]) - 1)</f>
        <v>GX09</v>
      </c>
      <c r="C1003" s="1" t="str">
        <f>MID(LEFT(Table1[[#This Row],[Item]], FIND("{token}", SUBSTITUTE(Table1[[#This Row],[Item]], "-", "{token}", 2)) - 1), FIND("-", Table1[[#This Row],[Item]]) + 1, LEN(Table1[[#This Row],[Item]]))</f>
        <v>C</v>
      </c>
      <c r="D100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00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003" s="1" cm="1">
        <f t="array" ref="F1003">VALUE(INDEX(_xlfn.TEXTSPLIT(Table1[[#This Row],[Item]], "-"), 5))</f>
        <v>1</v>
      </c>
      <c r="G1003" s="1" cm="1">
        <f t="array" ref="G1003">VALUE(INDEX(_xlfn.TEXTSPLIT(Table1[[#This Row],[Item]], "-"), 6))</f>
        <v>2</v>
      </c>
      <c r="H1003" s="1" cm="1">
        <f t="array" ref="H1003">VALUE(INDEX(_xlfn.TEXTSPLIT(Table1[[#This Row],[Item]], "-"), 7))</f>
        <v>0</v>
      </c>
      <c r="I100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03" s="1" t="str">
        <f>LEFT(RIGHT(Table1[[#This Row],[Item]],6),1)</f>
        <v>N</v>
      </c>
      <c r="K1003" s="1" t="str">
        <f>MID(A1003, LEN(A1003)-3, 1)</f>
        <v>N</v>
      </c>
      <c r="L1003" s="1" t="str">
        <f>RIGHT(Table1[[#This Row],[Item]],2)</f>
        <v>CA</v>
      </c>
      <c r="M1003" s="1" t="s">
        <v>33</v>
      </c>
      <c r="N1003" t="s">
        <v>1024</v>
      </c>
      <c r="O1003" s="1"/>
    </row>
    <row r="1004" spans="1:15" ht="15" customHeight="1">
      <c r="A1004" t="s">
        <v>1025</v>
      </c>
      <c r="B1004" s="1" t="str">
        <f>LEFT(Table1[[#This Row],[Item]], FIND("-", Table1[[#This Row],[Item]]) - 1)</f>
        <v>GX09</v>
      </c>
      <c r="C1004" s="1" t="str">
        <f>MID(LEFT(Table1[[#This Row],[Item]], FIND("{token}", SUBSTITUTE(Table1[[#This Row],[Item]], "-", "{token}", 2)) - 1), FIND("-", Table1[[#This Row],[Item]]) + 1, LEN(Table1[[#This Row],[Item]]))</f>
        <v>CXL</v>
      </c>
      <c r="D1004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100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004" s="1" cm="1">
        <f t="array" ref="F1004">VALUE(INDEX(_xlfn.TEXTSPLIT(Table1[[#This Row],[Item]], "-"), 5))</f>
        <v>1</v>
      </c>
      <c r="G1004" s="1" cm="1">
        <f t="array" ref="G1004">VALUE(INDEX(_xlfn.TEXTSPLIT(Table1[[#This Row],[Item]], "-"), 6))</f>
        <v>2</v>
      </c>
      <c r="H1004" s="1" cm="1">
        <f t="array" ref="H1004">VALUE(INDEX(_xlfn.TEXTSPLIT(Table1[[#This Row],[Item]], "-"), 7))</f>
        <v>0</v>
      </c>
      <c r="I100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04" s="1" t="str">
        <f>LEFT(RIGHT(Table1[[#This Row],[Item]],6),1)</f>
        <v>N</v>
      </c>
      <c r="K1004" s="1" t="str">
        <f>MID(A1004, LEN(A1004)-3, 1)</f>
        <v>N</v>
      </c>
      <c r="L1004" s="1" t="str">
        <f>RIGHT(Table1[[#This Row],[Item]],2)</f>
        <v>CA</v>
      </c>
      <c r="M1004" s="1" t="s">
        <v>33</v>
      </c>
      <c r="N1004" t="s">
        <v>1025</v>
      </c>
      <c r="O1004" s="1"/>
    </row>
    <row r="1005" spans="1:15" ht="15" customHeight="1">
      <c r="A1005" t="s">
        <v>1026</v>
      </c>
      <c r="B1005" s="1" t="str">
        <f>LEFT(Table1[[#This Row],[Item]], FIND("-", Table1[[#This Row],[Item]]) - 1)</f>
        <v>GX09</v>
      </c>
      <c r="C1005" s="1" t="str">
        <f>MID(LEFT(Table1[[#This Row],[Item]], FIND("{token}", SUBSTITUTE(Table1[[#This Row],[Item]], "-", "{token}", 2)) - 1), FIND("-", Table1[[#This Row],[Item]]) + 1, LEN(Table1[[#This Row],[Item]]))</f>
        <v>C</v>
      </c>
      <c r="D1005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100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1005" s="1" cm="1">
        <f t="array" ref="F1005">VALUE(INDEX(_xlfn.TEXTSPLIT(Table1[[#This Row],[Item]], "-"), 5))</f>
        <v>1</v>
      </c>
      <c r="G1005" s="1" cm="1">
        <f t="array" ref="G1005">VALUE(INDEX(_xlfn.TEXTSPLIT(Table1[[#This Row],[Item]], "-"), 6))</f>
        <v>2</v>
      </c>
      <c r="H1005" s="1" cm="1">
        <f t="array" ref="H1005">VALUE(INDEX(_xlfn.TEXTSPLIT(Table1[[#This Row],[Item]], "-"), 7))</f>
        <v>0</v>
      </c>
      <c r="I100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05" s="1" t="str">
        <f>LEFT(RIGHT(Table1[[#This Row],[Item]],6),1)</f>
        <v>N</v>
      </c>
      <c r="K1005" s="1" t="str">
        <f>MID(A1005, LEN(A1005)-3, 1)</f>
        <v>N</v>
      </c>
      <c r="L1005" s="1" t="str">
        <f>RIGHT(Table1[[#This Row],[Item]],2)</f>
        <v>DG</v>
      </c>
      <c r="M1005" s="1" t="s">
        <v>33</v>
      </c>
      <c r="N1005" t="s">
        <v>1026</v>
      </c>
      <c r="O1005" s="1"/>
    </row>
    <row r="1006" spans="1:15" ht="15" customHeight="1">
      <c r="A1006" t="s">
        <v>1027</v>
      </c>
      <c r="B1006" s="1" t="str">
        <f>LEFT(Table1[[#This Row],[Item]], FIND("-", Table1[[#This Row],[Item]]) - 1)</f>
        <v>GX10</v>
      </c>
      <c r="C1006" s="1" t="str">
        <f>MID(LEFT(Table1[[#This Row],[Item]], FIND("{token}", SUBSTITUTE(Table1[[#This Row],[Item]], "-", "{token}", 2)) - 1), FIND("-", Table1[[#This Row],[Item]]) + 1, LEN(Table1[[#This Row],[Item]]))</f>
        <v>L</v>
      </c>
      <c r="D1006" s="1" t="str">
        <f>MID(LEFT(Table1[[#This Row],[Item]], FIND("{token}", SUBSTITUTE(Table1[[#This Row],[Item]], "-", "{token}", 3)) - 1), FIND("{token}", SUBSTITUTE(Table1[[#This Row],[Item]], "-", "{token}", 2)) + 1, LEN(Table1[[#This Row],[Item]]))</f>
        <v>PR</v>
      </c>
      <c r="E100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006" s="1" cm="1">
        <f t="array" ref="F1006">VALUE(INDEX(_xlfn.TEXTSPLIT(Table1[[#This Row],[Item]], "-"), 5))</f>
        <v>1</v>
      </c>
      <c r="G1006" s="1" cm="1">
        <f t="array" ref="G1006">VALUE(INDEX(_xlfn.TEXTSPLIT(Table1[[#This Row],[Item]], "-"), 6))</f>
        <v>2</v>
      </c>
      <c r="H1006" s="1" cm="1">
        <f t="array" ref="H1006">VALUE(INDEX(_xlfn.TEXTSPLIT(Table1[[#This Row],[Item]], "-"), 7))</f>
        <v>0</v>
      </c>
      <c r="I100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06" s="1" t="str">
        <f>LEFT(RIGHT(Table1[[#This Row],[Item]],6),1)</f>
        <v>N</v>
      </c>
      <c r="K1006" s="1" t="str">
        <f>MID(A1006, LEN(A1006)-3, 1)</f>
        <v>N</v>
      </c>
      <c r="L1006" s="1" t="str">
        <f>RIGHT(Table1[[#This Row],[Item]],2)</f>
        <v>CA</v>
      </c>
      <c r="M1006" s="1" t="s">
        <v>33</v>
      </c>
      <c r="N1006" t="s">
        <v>1027</v>
      </c>
      <c r="O1006" s="1"/>
    </row>
    <row r="1007" spans="1:15" ht="15" customHeight="1">
      <c r="A1007" t="s">
        <v>1028</v>
      </c>
      <c r="B1007" s="1" t="str">
        <f>LEFT(Table1[[#This Row],[Item]], FIND("-", Table1[[#This Row],[Item]]) - 1)</f>
        <v>ARB8</v>
      </c>
      <c r="C1007" s="1" t="str">
        <f>MID(LEFT(Table1[[#This Row],[Item]], FIND("{token}", SUBSTITUTE(Table1[[#This Row],[Item]], "-", "{token}", 2)) - 1), FIND("-", Table1[[#This Row],[Item]]) + 1, LEN(Table1[[#This Row],[Item]]))</f>
        <v>LXL</v>
      </c>
      <c r="D100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00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007" s="1" cm="1">
        <f t="array" ref="F1007">VALUE(INDEX(_xlfn.TEXTSPLIT(Table1[[#This Row],[Item]], "-"), 5))</f>
        <v>1</v>
      </c>
      <c r="G1007" s="1" cm="1">
        <f t="array" ref="G1007">VALUE(INDEX(_xlfn.TEXTSPLIT(Table1[[#This Row],[Item]], "-"), 6))</f>
        <v>1</v>
      </c>
      <c r="H1007" s="1" cm="1">
        <f t="array" ref="H1007">VALUE(INDEX(_xlfn.TEXTSPLIT(Table1[[#This Row],[Item]], "-"), 7))</f>
        <v>0</v>
      </c>
      <c r="I1007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1007" s="1" t="str">
        <f>LEFT(RIGHT(Table1[[#This Row],[Item]],6),1)</f>
        <v>Y</v>
      </c>
      <c r="K1007" s="1" t="str">
        <f>MID(A1007, LEN(A1007)-3, 1)</f>
        <v>Y</v>
      </c>
      <c r="L1007" s="1" t="str">
        <f>RIGHT(Table1[[#This Row],[Item]],2)</f>
        <v>BR</v>
      </c>
      <c r="M1007" s="1" t="s">
        <v>33</v>
      </c>
      <c r="N1007" t="s">
        <v>1028</v>
      </c>
      <c r="O1007" s="1"/>
    </row>
    <row r="1008" spans="1:15" ht="15" customHeight="1">
      <c r="A1008" t="s">
        <v>1029</v>
      </c>
      <c r="B1008" s="1" t="str">
        <f>LEFT(Table1[[#This Row],[Item]], FIND("-", Table1[[#This Row],[Item]]) - 1)</f>
        <v>GX08</v>
      </c>
      <c r="C1008" s="1" t="str">
        <f>MID(LEFT(Table1[[#This Row],[Item]], FIND("{token}", SUBSTITUTE(Table1[[#This Row],[Item]], "-", "{token}", 2)) - 1), FIND("-", Table1[[#This Row],[Item]]) + 1, LEN(Table1[[#This Row],[Item]]))</f>
        <v>R</v>
      </c>
      <c r="D1008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00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1008" s="1" cm="1">
        <f t="array" ref="F1008">VALUE(INDEX(_xlfn.TEXTSPLIT(Table1[[#This Row],[Item]], "-"), 5))</f>
        <v>1</v>
      </c>
      <c r="G1008" s="1" cm="1">
        <f t="array" ref="G1008">VALUE(INDEX(_xlfn.TEXTSPLIT(Table1[[#This Row],[Item]], "-"), 6))</f>
        <v>1</v>
      </c>
      <c r="H1008" s="1" cm="1">
        <f t="array" ref="H1008">VALUE(INDEX(_xlfn.TEXTSPLIT(Table1[[#This Row],[Item]], "-"), 7))</f>
        <v>0</v>
      </c>
      <c r="I100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08" s="1" t="str">
        <f>LEFT(RIGHT(Table1[[#This Row],[Item]],6),1)</f>
        <v>N</v>
      </c>
      <c r="K1008" s="1" t="str">
        <f>MID(A1008, LEN(A1008)-3, 1)</f>
        <v>N</v>
      </c>
      <c r="L1008" s="1" t="str">
        <f>RIGHT(Table1[[#This Row],[Item]],2)</f>
        <v>CA</v>
      </c>
      <c r="M1008" s="1" t="s">
        <v>33</v>
      </c>
      <c r="N1008" t="s">
        <v>1029</v>
      </c>
      <c r="O1008" s="1"/>
    </row>
    <row r="1009" spans="1:15" ht="15" customHeight="1">
      <c r="A1009" t="s">
        <v>1030</v>
      </c>
      <c r="B1009" s="1" t="str">
        <f>LEFT(Table1[[#This Row],[Item]], FIND("-", Table1[[#This Row],[Item]]) - 1)</f>
        <v>STT7</v>
      </c>
      <c r="C1009" s="1" t="str">
        <f>MID(LEFT(Table1[[#This Row],[Item]], FIND("{token}", SUBSTITUTE(Table1[[#This Row],[Item]], "-", "{token}", 2)) - 1), FIND("-", Table1[[#This Row],[Item]]) + 1, LEN(Table1[[#This Row],[Item]]))</f>
        <v>N</v>
      </c>
      <c r="D100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00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1009" s="1" cm="1">
        <f t="array" ref="F1009">VALUE(INDEX(_xlfn.TEXTSPLIT(Table1[[#This Row],[Item]], "-"), 5))</f>
        <v>0</v>
      </c>
      <c r="G1009" s="1" cm="1">
        <f t="array" ref="G1009">VALUE(INDEX(_xlfn.TEXTSPLIT(Table1[[#This Row],[Item]], "-"), 6))</f>
        <v>0</v>
      </c>
      <c r="H1009" s="1" cm="1">
        <f t="array" ref="H1009">VALUE(INDEX(_xlfn.TEXTSPLIT(Table1[[#This Row],[Item]], "-"), 7))</f>
        <v>0</v>
      </c>
      <c r="I1009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009" s="1" t="str">
        <f>LEFT(RIGHT(Table1[[#This Row],[Item]],6),1)</f>
        <v>Y</v>
      </c>
      <c r="K1009" s="1" t="str">
        <f>MID(A1009, LEN(A1009)-3, 1)</f>
        <v>Y</v>
      </c>
      <c r="L1009" s="1" t="str">
        <f>RIGHT(Table1[[#This Row],[Item]],2)</f>
        <v>CA</v>
      </c>
      <c r="M1009" s="1" t="s">
        <v>33</v>
      </c>
      <c r="N1009" t="s">
        <v>1030</v>
      </c>
      <c r="O1009" s="1"/>
    </row>
    <row r="1010" spans="1:15" ht="15" customHeight="1">
      <c r="A1010" t="s">
        <v>1031</v>
      </c>
      <c r="B1010" s="1" t="str">
        <f>LEFT(Table1[[#This Row],[Item]], FIND("-", Table1[[#This Row],[Item]]) - 1)</f>
        <v>GX09</v>
      </c>
      <c r="C1010" s="1" t="str">
        <f>MID(LEFT(Table1[[#This Row],[Item]], FIND("{token}", SUBSTITUTE(Table1[[#This Row],[Item]], "-", "{token}", 2)) - 1), FIND("-", Table1[[#This Row],[Item]]) + 1, LEN(Table1[[#This Row],[Item]]))</f>
        <v>C</v>
      </c>
      <c r="D1010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01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010" s="1" cm="1">
        <f t="array" ref="F1010">VALUE(INDEX(_xlfn.TEXTSPLIT(Table1[[#This Row],[Item]], "-"), 5))</f>
        <v>1</v>
      </c>
      <c r="G1010" s="1" cm="1">
        <f t="array" ref="G1010">VALUE(INDEX(_xlfn.TEXTSPLIT(Table1[[#This Row],[Item]], "-"), 6))</f>
        <v>1</v>
      </c>
      <c r="H1010" s="1" cm="1">
        <f t="array" ref="H1010">VALUE(INDEX(_xlfn.TEXTSPLIT(Table1[[#This Row],[Item]], "-"), 7))</f>
        <v>1</v>
      </c>
      <c r="I101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10" s="1" t="str">
        <f>LEFT(RIGHT(Table1[[#This Row],[Item]],6),1)</f>
        <v>N</v>
      </c>
      <c r="K1010" s="1" t="str">
        <f>MID(A1010, LEN(A1010)-3, 1)</f>
        <v>N</v>
      </c>
      <c r="L1010" s="1" t="str">
        <f>RIGHT(Table1[[#This Row],[Item]],2)</f>
        <v>CA</v>
      </c>
      <c r="M1010" s="1" t="s">
        <v>33</v>
      </c>
      <c r="N1010" t="s">
        <v>1031</v>
      </c>
      <c r="O1010" s="1"/>
    </row>
    <row r="1011" spans="1:15" ht="15" customHeight="1">
      <c r="A1011" t="s">
        <v>1032</v>
      </c>
      <c r="B1011" s="1" t="str">
        <f>LEFT(Table1[[#This Row],[Item]], FIND("-", Table1[[#This Row],[Item]]) - 1)</f>
        <v>GX08</v>
      </c>
      <c r="C1011" s="1" t="str">
        <f>MID(LEFT(Table1[[#This Row],[Item]], FIND("{token}", SUBSTITUTE(Table1[[#This Row],[Item]], "-", "{token}", 2)) - 1), FIND("-", Table1[[#This Row],[Item]]) + 1, LEN(Table1[[#This Row],[Item]]))</f>
        <v>RXL</v>
      </c>
      <c r="D1011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01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1011" s="1" cm="1">
        <f t="array" ref="F1011">VALUE(INDEX(_xlfn.TEXTSPLIT(Table1[[#This Row],[Item]], "-"), 5))</f>
        <v>1</v>
      </c>
      <c r="G1011" s="1" cm="1">
        <f t="array" ref="G1011">VALUE(INDEX(_xlfn.TEXTSPLIT(Table1[[#This Row],[Item]], "-"), 6))</f>
        <v>1</v>
      </c>
      <c r="H1011" s="1" cm="1">
        <f t="array" ref="H1011">VALUE(INDEX(_xlfn.TEXTSPLIT(Table1[[#This Row],[Item]], "-"), 7))</f>
        <v>0</v>
      </c>
      <c r="I1011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11" s="1" t="str">
        <f>LEFT(RIGHT(Table1[[#This Row],[Item]],6),1)</f>
        <v>N</v>
      </c>
      <c r="K1011" s="1" t="str">
        <f>MID(A1011, LEN(A1011)-3, 1)</f>
        <v>N</v>
      </c>
      <c r="L1011" s="1" t="str">
        <f>RIGHT(Table1[[#This Row],[Item]],2)</f>
        <v>CA</v>
      </c>
      <c r="M1011" s="1" t="s">
        <v>33</v>
      </c>
      <c r="N1011" t="s">
        <v>1032</v>
      </c>
      <c r="O1011" s="1"/>
    </row>
    <row r="1012" spans="1:15" ht="15" customHeight="1">
      <c r="A1012" t="s">
        <v>1033</v>
      </c>
      <c r="B1012" s="1" t="str">
        <f>LEFT(Table1[[#This Row],[Item]], FIND("-", Table1[[#This Row],[Item]]) - 1)</f>
        <v>MA14</v>
      </c>
      <c r="C1012" s="1" t="str">
        <f>MID(LEFT(Table1[[#This Row],[Item]], FIND("{token}", SUBSTITUTE(Table1[[#This Row],[Item]], "-", "{token}", 2)) - 1), FIND("-", Table1[[#This Row],[Item]]) + 1, LEN(Table1[[#This Row],[Item]]))</f>
        <v>D</v>
      </c>
      <c r="D101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01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012" s="1" cm="1">
        <f t="array" ref="F1012">VALUE(INDEX(_xlfn.TEXTSPLIT(Table1[[#This Row],[Item]], "-"), 5))</f>
        <v>0</v>
      </c>
      <c r="G1012" s="1" cm="1">
        <f t="array" ref="G1012">VALUE(INDEX(_xlfn.TEXTSPLIT(Table1[[#This Row],[Item]], "-"), 6))</f>
        <v>2</v>
      </c>
      <c r="H1012" s="1" cm="1">
        <f t="array" ref="H1012">VALUE(INDEX(_xlfn.TEXTSPLIT(Table1[[#This Row],[Item]], "-"), 7))</f>
        <v>0</v>
      </c>
      <c r="I1012" s="1" t="str">
        <f>MID(LEFT(Table1[[#This Row],[Item]], FIND("{token}", SUBSTITUTE(Table1[[#This Row],[Item]], "-", "{token}", 8)) - 1), FIND("{token}", SUBSTITUTE(Table1[[#This Row],[Item]], "-", "{token}", 7)) + 1, LEN(Table1[[#This Row],[Item]]))</f>
        <v>LSPO</v>
      </c>
      <c r="J1012" s="1" t="str">
        <f>LEFT(RIGHT(Table1[[#This Row],[Item]],6),1)</f>
        <v>Y</v>
      </c>
      <c r="K1012" s="1" t="str">
        <f>MID(A1012, LEN(A1012)-3, 1)</f>
        <v>Y</v>
      </c>
      <c r="L1012" s="1" t="str">
        <f>RIGHT(Table1[[#This Row],[Item]],2)</f>
        <v>CA</v>
      </c>
      <c r="M1012" s="1" t="s">
        <v>33</v>
      </c>
      <c r="N1012" t="s">
        <v>1033</v>
      </c>
      <c r="O1012" s="1"/>
    </row>
    <row r="1013" spans="1:15" ht="15" customHeight="1">
      <c r="A1013" t="s">
        <v>1034</v>
      </c>
      <c r="B1013" s="1" t="str">
        <f>LEFT(Table1[[#This Row],[Item]], FIND("-", Table1[[#This Row],[Item]]) - 1)</f>
        <v>GX14</v>
      </c>
      <c r="C1013" s="1" t="str">
        <f>MID(LEFT(Table1[[#This Row],[Item]], FIND("{token}", SUBSTITUTE(Table1[[#This Row],[Item]], "-", "{token}", 2)) - 1), FIND("-", Table1[[#This Row],[Item]]) + 1, LEN(Table1[[#This Row],[Item]]))</f>
        <v>LXL</v>
      </c>
      <c r="D1013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101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1013" s="1" cm="1">
        <f t="array" ref="F1013">VALUE(INDEX(_xlfn.TEXTSPLIT(Table1[[#This Row],[Item]], "-"), 5))</f>
        <v>2</v>
      </c>
      <c r="G1013" s="1" cm="1">
        <f t="array" ref="G1013">VALUE(INDEX(_xlfn.TEXTSPLIT(Table1[[#This Row],[Item]], "-"), 6))</f>
        <v>2</v>
      </c>
      <c r="H1013" s="1" cm="1">
        <f t="array" ref="H1013">VALUE(INDEX(_xlfn.TEXTSPLIT(Table1[[#This Row],[Item]], "-"), 7))</f>
        <v>0</v>
      </c>
      <c r="I101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13" s="1" t="str">
        <f>LEFT(RIGHT(Table1[[#This Row],[Item]],6),1)</f>
        <v>N</v>
      </c>
      <c r="K1013" s="1" t="str">
        <f>MID(A1013, LEN(A1013)-3, 1)</f>
        <v>N</v>
      </c>
      <c r="L1013" s="1" t="str">
        <f>RIGHT(Table1[[#This Row],[Item]],2)</f>
        <v>CA</v>
      </c>
      <c r="M1013" s="1" t="s">
        <v>33</v>
      </c>
      <c r="N1013" t="s">
        <v>1034</v>
      </c>
      <c r="O1013" s="1"/>
    </row>
    <row r="1014" spans="1:15" ht="15" customHeight="1">
      <c r="A1014" t="s">
        <v>1035</v>
      </c>
      <c r="B1014" s="1" t="str">
        <f>LEFT(Table1[[#This Row],[Item]], FIND("-", Table1[[#This Row],[Item]]) - 1)</f>
        <v>GX09</v>
      </c>
      <c r="C1014" s="1" t="str">
        <f>MID(LEFT(Table1[[#This Row],[Item]], FIND("{token}", SUBSTITUTE(Table1[[#This Row],[Item]], "-", "{token}", 2)) - 1), FIND("-", Table1[[#This Row],[Item]]) + 1, LEN(Table1[[#This Row],[Item]]))</f>
        <v>C</v>
      </c>
      <c r="D1014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01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014" s="1" cm="1">
        <f t="array" ref="F1014">VALUE(INDEX(_xlfn.TEXTSPLIT(Table1[[#This Row],[Item]], "-"), 5))</f>
        <v>0</v>
      </c>
      <c r="G1014" s="1" cm="1">
        <f t="array" ref="G1014">VALUE(INDEX(_xlfn.TEXTSPLIT(Table1[[#This Row],[Item]], "-"), 6))</f>
        <v>2</v>
      </c>
      <c r="H1014" s="1" cm="1">
        <f t="array" ref="H1014">VALUE(INDEX(_xlfn.TEXTSPLIT(Table1[[#This Row],[Item]], "-"), 7))</f>
        <v>0</v>
      </c>
      <c r="I101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14" s="1" t="str">
        <f>LEFT(RIGHT(Table1[[#This Row],[Item]],6),1)</f>
        <v>N</v>
      </c>
      <c r="K1014" s="1" t="str">
        <f>MID(A1014, LEN(A1014)-3, 1)</f>
        <v>N</v>
      </c>
      <c r="L1014" s="1" t="str">
        <f>RIGHT(Table1[[#This Row],[Item]],2)</f>
        <v>CA</v>
      </c>
      <c r="M1014" s="1" t="s">
        <v>33</v>
      </c>
      <c r="N1014" t="s">
        <v>1035</v>
      </c>
      <c r="O1014" s="1"/>
    </row>
    <row r="1015" spans="1:15" ht="15" customHeight="1">
      <c r="A1015" t="s">
        <v>1036</v>
      </c>
      <c r="B1015" s="1" t="str">
        <f>LEFT(Table1[[#This Row],[Item]], FIND("-", Table1[[#This Row],[Item]]) - 1)</f>
        <v>GX08</v>
      </c>
      <c r="C1015" s="1" t="str">
        <f>MID(LEFT(Table1[[#This Row],[Item]], FIND("{token}", SUBSTITUTE(Table1[[#This Row],[Item]], "-", "{token}", 2)) - 1), FIND("-", Table1[[#This Row],[Item]]) + 1, LEN(Table1[[#This Row],[Item]]))</f>
        <v>R</v>
      </c>
      <c r="D101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01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015" s="1" cm="1">
        <f t="array" ref="F1015">VALUE(INDEX(_xlfn.TEXTSPLIT(Table1[[#This Row],[Item]], "-"), 5))</f>
        <v>1</v>
      </c>
      <c r="G1015" s="1" cm="1">
        <f t="array" ref="G1015">VALUE(INDEX(_xlfn.TEXTSPLIT(Table1[[#This Row],[Item]], "-"), 6))</f>
        <v>0</v>
      </c>
      <c r="H1015" s="1" cm="1">
        <f t="array" ref="H1015">VALUE(INDEX(_xlfn.TEXTSPLIT(Table1[[#This Row],[Item]], "-"), 7))</f>
        <v>1</v>
      </c>
      <c r="I101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15" s="1" t="str">
        <f>LEFT(RIGHT(Table1[[#This Row],[Item]],6),1)</f>
        <v>N</v>
      </c>
      <c r="K1015" s="1" t="str">
        <f>MID(A1015, LEN(A1015)-3, 1)</f>
        <v>N</v>
      </c>
      <c r="L1015" s="1" t="str">
        <f>RIGHT(Table1[[#This Row],[Item]],2)</f>
        <v>CA</v>
      </c>
      <c r="M1015" s="1" t="s">
        <v>33</v>
      </c>
      <c r="N1015" t="s">
        <v>1036</v>
      </c>
      <c r="O1015" s="1"/>
    </row>
    <row r="1016" spans="1:15" ht="15" customHeight="1">
      <c r="A1016" t="s">
        <v>1037</v>
      </c>
      <c r="B1016" s="1" t="str">
        <f>LEFT(Table1[[#This Row],[Item]], FIND("-", Table1[[#This Row],[Item]]) - 1)</f>
        <v>GX08</v>
      </c>
      <c r="C1016" s="1" t="str">
        <f>MID(LEFT(Table1[[#This Row],[Item]], FIND("{token}", SUBSTITUTE(Table1[[#This Row],[Item]], "-", "{token}", 2)) - 1), FIND("-", Table1[[#This Row],[Item]]) + 1, LEN(Table1[[#This Row],[Item]]))</f>
        <v>R</v>
      </c>
      <c r="D1016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016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1016" s="1" cm="1">
        <f t="array" ref="F1016">VALUE(INDEX(_xlfn.TEXTSPLIT(Table1[[#This Row],[Item]], "-"), 5))</f>
        <v>1</v>
      </c>
      <c r="G1016" s="1" cm="1">
        <f t="array" ref="G1016">VALUE(INDEX(_xlfn.TEXTSPLIT(Table1[[#This Row],[Item]], "-"), 6))</f>
        <v>1</v>
      </c>
      <c r="H1016" s="1" cm="1">
        <f t="array" ref="H1016">VALUE(INDEX(_xlfn.TEXTSPLIT(Table1[[#This Row],[Item]], "-"), 7))</f>
        <v>0</v>
      </c>
      <c r="I1016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16" s="1" t="str">
        <f>LEFT(RIGHT(Table1[[#This Row],[Item]],6),1)</f>
        <v>N</v>
      </c>
      <c r="K1016" s="1" t="str">
        <f>MID(A1016, LEN(A1016)-3, 1)</f>
        <v>N</v>
      </c>
      <c r="L1016" s="1" t="str">
        <f>RIGHT(Table1[[#This Row],[Item]],2)</f>
        <v>BR</v>
      </c>
      <c r="M1016" s="1" t="s">
        <v>33</v>
      </c>
      <c r="N1016" t="s">
        <v>1037</v>
      </c>
      <c r="O1016" s="1"/>
    </row>
    <row r="1017" spans="1:15" ht="15" customHeight="1">
      <c r="A1017" t="s">
        <v>1038</v>
      </c>
      <c r="B1017" s="1" t="str">
        <f>LEFT(Table1[[#This Row],[Item]], FIND("-", Table1[[#This Row],[Item]]) - 1)</f>
        <v>GX09</v>
      </c>
      <c r="C1017" s="1" t="str">
        <f>MID(LEFT(Table1[[#This Row],[Item]], FIND("{token}", SUBSTITUTE(Table1[[#This Row],[Item]], "-", "{token}", 2)) - 1), FIND("-", Table1[[#This Row],[Item]]) + 1, LEN(Table1[[#This Row],[Item]]))</f>
        <v>C</v>
      </c>
      <c r="D1017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017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017" s="1" cm="1">
        <f t="array" ref="F1017">VALUE(INDEX(_xlfn.TEXTSPLIT(Table1[[#This Row],[Item]], "-"), 5))</f>
        <v>0</v>
      </c>
      <c r="G1017" s="1" cm="1">
        <f t="array" ref="G1017">VALUE(INDEX(_xlfn.TEXTSPLIT(Table1[[#This Row],[Item]], "-"), 6))</f>
        <v>1</v>
      </c>
      <c r="H1017" s="1" cm="1">
        <f t="array" ref="H1017">VALUE(INDEX(_xlfn.TEXTSPLIT(Table1[[#This Row],[Item]], "-"), 7))</f>
        <v>0</v>
      </c>
      <c r="I1017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17" s="1" t="str">
        <f>LEFT(RIGHT(Table1[[#This Row],[Item]],6),1)</f>
        <v>N</v>
      </c>
      <c r="K1017" s="1" t="str">
        <f>MID(A1017, LEN(A1017)-3, 1)</f>
        <v>N</v>
      </c>
      <c r="L1017" s="1" t="str">
        <f>RIGHT(Table1[[#This Row],[Item]],2)</f>
        <v>CA</v>
      </c>
      <c r="M1017" s="1" t="s">
        <v>33</v>
      </c>
      <c r="N1017" t="s">
        <v>1038</v>
      </c>
      <c r="O1017" s="1"/>
    </row>
    <row r="1018" spans="1:15" ht="15" customHeight="1">
      <c r="A1018" t="s">
        <v>1039</v>
      </c>
      <c r="B1018" s="1" t="str">
        <f>LEFT(Table1[[#This Row],[Item]], FIND("-", Table1[[#This Row],[Item]]) - 1)</f>
        <v>GX08</v>
      </c>
      <c r="C1018" s="1" t="str">
        <f>MID(LEFT(Table1[[#This Row],[Item]], FIND("{token}", SUBSTITUTE(Table1[[#This Row],[Item]], "-", "{token}", 2)) - 1), FIND("-", Table1[[#This Row],[Item]]) + 1, LEN(Table1[[#This Row],[Item]]))</f>
        <v>L</v>
      </c>
      <c r="D1018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1018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1018" s="1" cm="1">
        <f t="array" ref="F1018">VALUE(INDEX(_xlfn.TEXTSPLIT(Table1[[#This Row],[Item]], "-"), 5))</f>
        <v>1</v>
      </c>
      <c r="G1018" s="1" cm="1">
        <f t="array" ref="G1018">VALUE(INDEX(_xlfn.TEXTSPLIT(Table1[[#This Row],[Item]], "-"), 6))</f>
        <v>1</v>
      </c>
      <c r="H1018" s="1" cm="1">
        <f t="array" ref="H1018">VALUE(INDEX(_xlfn.TEXTSPLIT(Table1[[#This Row],[Item]], "-"), 7))</f>
        <v>0</v>
      </c>
      <c r="I1018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18" s="1" t="str">
        <f>LEFT(RIGHT(Table1[[#This Row],[Item]],6),1)</f>
        <v>N</v>
      </c>
      <c r="K1018" s="1" t="str">
        <f>MID(A1018, LEN(A1018)-3, 1)</f>
        <v>N</v>
      </c>
      <c r="L1018" s="1" t="str">
        <f>RIGHT(Table1[[#This Row],[Item]],2)</f>
        <v>CA</v>
      </c>
      <c r="M1018" s="1" t="s">
        <v>33</v>
      </c>
      <c r="N1018" t="s">
        <v>1039</v>
      </c>
      <c r="O1018" s="1"/>
    </row>
    <row r="1019" spans="1:15" ht="15" customHeight="1">
      <c r="A1019" t="s">
        <v>1040</v>
      </c>
      <c r="B1019" s="1" t="str">
        <f>LEFT(Table1[[#This Row],[Item]], FIND("-", Table1[[#This Row],[Item]]) - 1)</f>
        <v>PRT7</v>
      </c>
      <c r="C1019" s="1" t="str">
        <f>MID(LEFT(Table1[[#This Row],[Item]], FIND("{token}", SUBSTITUTE(Table1[[#This Row],[Item]], "-", "{token}", 2)) - 1), FIND("-", Table1[[#This Row],[Item]]) + 1, LEN(Table1[[#This Row],[Item]]))</f>
        <v>N</v>
      </c>
      <c r="D1019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019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019" s="1" cm="1">
        <f t="array" ref="F1019">VALUE(INDEX(_xlfn.TEXTSPLIT(Table1[[#This Row],[Item]], "-"), 5))</f>
        <v>1</v>
      </c>
      <c r="G1019" s="1" cm="1">
        <f t="array" ref="G1019">VALUE(INDEX(_xlfn.TEXTSPLIT(Table1[[#This Row],[Item]], "-"), 6))</f>
        <v>0</v>
      </c>
      <c r="H1019" s="1" cm="1">
        <f t="array" ref="H1019">VALUE(INDEX(_xlfn.TEXTSPLIT(Table1[[#This Row],[Item]], "-"), 7))</f>
        <v>0</v>
      </c>
      <c r="I1019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19" s="1" t="str">
        <f>LEFT(RIGHT(Table1[[#This Row],[Item]],6),1)</f>
        <v>Y</v>
      </c>
      <c r="K1019" s="1" t="str">
        <f>MID(A1019, LEN(A1019)-3, 1)</f>
        <v>Y</v>
      </c>
      <c r="L1019" s="1" t="str">
        <f>RIGHT(Table1[[#This Row],[Item]],2)</f>
        <v>CA</v>
      </c>
      <c r="M1019" s="1" t="s">
        <v>33</v>
      </c>
      <c r="N1019" t="s">
        <v>1040</v>
      </c>
      <c r="O1019" s="1"/>
    </row>
    <row r="1020" spans="1:15" ht="15" customHeight="1">
      <c r="A1020" t="s">
        <v>1041</v>
      </c>
      <c r="B1020" s="1" t="str">
        <f>LEFT(Table1[[#This Row],[Item]], FIND("-", Table1[[#This Row],[Item]]) - 1)</f>
        <v>GX10</v>
      </c>
      <c r="C1020" s="1" t="str">
        <f>MID(LEFT(Table1[[#This Row],[Item]], FIND("{token}", SUBSTITUTE(Table1[[#This Row],[Item]], "-", "{token}", 2)) - 1), FIND("-", Table1[[#This Row],[Item]]) + 1, LEN(Table1[[#This Row],[Item]]))</f>
        <v>C</v>
      </c>
      <c r="D1020" s="1" t="str">
        <f>MID(LEFT(Table1[[#This Row],[Item]], FIND("{token}", SUBSTITUTE(Table1[[#This Row],[Item]], "-", "{token}", 3)) - 1), FIND("{token}", SUBSTITUTE(Table1[[#This Row],[Item]], "-", "{token}", 2)) + 1, LEN(Table1[[#This Row],[Item]]))</f>
        <v>DR</v>
      </c>
      <c r="E1020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1020" s="1" cm="1">
        <f t="array" ref="F1020">VALUE(INDEX(_xlfn.TEXTSPLIT(Table1[[#This Row],[Item]], "-"), 5))</f>
        <v>1</v>
      </c>
      <c r="G1020" s="1" cm="1">
        <f t="array" ref="G1020">VALUE(INDEX(_xlfn.TEXTSPLIT(Table1[[#This Row],[Item]], "-"), 6))</f>
        <v>2</v>
      </c>
      <c r="H1020" s="1" cm="1">
        <f t="array" ref="H1020">VALUE(INDEX(_xlfn.TEXTSPLIT(Table1[[#This Row],[Item]], "-"), 7))</f>
        <v>0</v>
      </c>
      <c r="I1020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20" s="1" t="str">
        <f>LEFT(RIGHT(Table1[[#This Row],[Item]],6),1)</f>
        <v>N</v>
      </c>
      <c r="K1020" s="1" t="str">
        <f>MID(A1020, LEN(A1020)-3, 1)</f>
        <v>N</v>
      </c>
      <c r="L1020" s="1" t="str">
        <f>RIGHT(Table1[[#This Row],[Item]],2)</f>
        <v>CA</v>
      </c>
      <c r="M1020" s="1" t="s">
        <v>33</v>
      </c>
      <c r="N1020" t="s">
        <v>1041</v>
      </c>
      <c r="O1020" s="1"/>
    </row>
    <row r="1021" spans="1:15" ht="15" customHeight="1">
      <c r="A1021" t="s">
        <v>1042</v>
      </c>
      <c r="B1021" s="1" t="str">
        <f>LEFT(Table1[[#This Row],[Item]], FIND("-", Table1[[#This Row],[Item]]) - 1)</f>
        <v>PRT7</v>
      </c>
      <c r="C1021" s="1" t="str">
        <f>MID(LEFT(Table1[[#This Row],[Item]], FIND("{token}", SUBSTITUTE(Table1[[#This Row],[Item]], "-", "{token}", 2)) - 1), FIND("-", Table1[[#This Row],[Item]]) + 1, LEN(Table1[[#This Row],[Item]]))</f>
        <v>N</v>
      </c>
      <c r="D1021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021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021" s="1" cm="1">
        <f t="array" ref="F1021">VALUE(INDEX(_xlfn.TEXTSPLIT(Table1[[#This Row],[Item]], "-"), 5))</f>
        <v>1</v>
      </c>
      <c r="G1021" s="1" cm="1">
        <f t="array" ref="G1021">VALUE(INDEX(_xlfn.TEXTSPLIT(Table1[[#This Row],[Item]], "-"), 6))</f>
        <v>0</v>
      </c>
      <c r="H1021" s="1" cm="1">
        <f t="array" ref="H1021">VALUE(INDEX(_xlfn.TEXTSPLIT(Table1[[#This Row],[Item]], "-"), 7))</f>
        <v>0</v>
      </c>
      <c r="I1021" s="1" t="str">
        <f>MID(LEFT(Table1[[#This Row],[Item]], FIND("{token}", SUBSTITUTE(Table1[[#This Row],[Item]], "-", "{token}", 8)) - 1), FIND("{token}", SUBSTITUTE(Table1[[#This Row],[Item]], "-", "{token}", 7)) + 1, LEN(Table1[[#This Row],[Item]]))</f>
        <v>L</v>
      </c>
      <c r="J1021" s="1" t="str">
        <f>LEFT(RIGHT(Table1[[#This Row],[Item]],6),1)</f>
        <v>Y</v>
      </c>
      <c r="K1021" s="1" t="str">
        <f>MID(A1021, LEN(A1021)-3, 1)</f>
        <v>Y</v>
      </c>
      <c r="L1021" s="1" t="str">
        <f>RIGHT(Table1[[#This Row],[Item]],2)</f>
        <v>CA</v>
      </c>
      <c r="M1021" s="1" t="s">
        <v>33</v>
      </c>
      <c r="N1021" t="s">
        <v>1042</v>
      </c>
      <c r="O1021" s="1"/>
    </row>
    <row r="1022" spans="1:15" ht="15" customHeight="1">
      <c r="A1022" t="s">
        <v>1043</v>
      </c>
      <c r="B1022" s="1" t="str">
        <f>LEFT(Table1[[#This Row],[Item]], FIND("-", Table1[[#This Row],[Item]]) - 1)</f>
        <v>PRT9</v>
      </c>
      <c r="C1022" s="1" t="str">
        <f>MID(LEFT(Table1[[#This Row],[Item]], FIND("{token}", SUBSTITUTE(Table1[[#This Row],[Item]], "-", "{token}", 2)) - 1), FIND("-", Table1[[#This Row],[Item]]) + 1, LEN(Table1[[#This Row],[Item]]))</f>
        <v>N</v>
      </c>
      <c r="D1022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022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0</v>
      </c>
      <c r="F1022" s="1" cm="1">
        <f t="array" ref="F1022">VALUE(INDEX(_xlfn.TEXTSPLIT(Table1[[#This Row],[Item]], "-"), 5))</f>
        <v>2</v>
      </c>
      <c r="G1022" s="1" cm="1">
        <f t="array" ref="G1022">VALUE(INDEX(_xlfn.TEXTSPLIT(Table1[[#This Row],[Item]], "-"), 6))</f>
        <v>0</v>
      </c>
      <c r="H1022" s="1" cm="1">
        <f t="array" ref="H1022">VALUE(INDEX(_xlfn.TEXTSPLIT(Table1[[#This Row],[Item]], "-"), 7))</f>
        <v>0</v>
      </c>
      <c r="I1022" s="1" t="str">
        <f>MID(LEFT(Table1[[#This Row],[Item]], FIND("{token}", SUBSTITUTE(Table1[[#This Row],[Item]], "-", "{token}", 8)) - 1), FIND("{token}", SUBSTITUTE(Table1[[#This Row],[Item]], "-", "{token}", 7)) + 1, LEN(Table1[[#This Row],[Item]]))</f>
        <v>Y</v>
      </c>
      <c r="J1022" s="1" t="str">
        <f>LEFT(RIGHT(Table1[[#This Row],[Item]],6),1)</f>
        <v>Y</v>
      </c>
      <c r="K1022" s="1" t="str">
        <f>MID(A1022, LEN(A1022)-3, 1)</f>
        <v>N</v>
      </c>
      <c r="L1022" s="1" t="str">
        <f>RIGHT(Table1[[#This Row],[Item]],2)</f>
        <v>DG</v>
      </c>
      <c r="M1022" s="1" t="s">
        <v>33</v>
      </c>
      <c r="N1022" t="s">
        <v>1043</v>
      </c>
      <c r="O1022" s="1"/>
    </row>
    <row r="1023" spans="1:15" ht="15" customHeight="1">
      <c r="A1023" t="s">
        <v>1044</v>
      </c>
      <c r="B1023" s="1" t="str">
        <f>LEFT(Table1[[#This Row],[Item]], FIND("-", Table1[[#This Row],[Item]]) - 1)</f>
        <v>GX09</v>
      </c>
      <c r="C1023" s="1" t="str">
        <f>MID(LEFT(Table1[[#This Row],[Item]], FIND("{token}", SUBSTITUTE(Table1[[#This Row],[Item]], "-", "{token}", 2)) - 1), FIND("-", Table1[[#This Row],[Item]]) + 1, LEN(Table1[[#This Row],[Item]]))</f>
        <v>L</v>
      </c>
      <c r="D1023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023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1</v>
      </c>
      <c r="F1023" s="1" cm="1">
        <f t="array" ref="F1023">VALUE(INDEX(_xlfn.TEXTSPLIT(Table1[[#This Row],[Item]], "-"), 5))</f>
        <v>0</v>
      </c>
      <c r="G1023" s="1" cm="1">
        <f t="array" ref="G1023">VALUE(INDEX(_xlfn.TEXTSPLIT(Table1[[#This Row],[Item]], "-"), 6))</f>
        <v>1</v>
      </c>
      <c r="H1023" s="1" cm="1">
        <f t="array" ref="H1023">VALUE(INDEX(_xlfn.TEXTSPLIT(Table1[[#This Row],[Item]], "-"), 7))</f>
        <v>0</v>
      </c>
      <c r="I1023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23" s="1" t="str">
        <f>LEFT(RIGHT(Table1[[#This Row],[Item]],6),1)</f>
        <v>N</v>
      </c>
      <c r="K1023" s="1" t="str">
        <f>MID(A1023, LEN(A1023)-3, 1)</f>
        <v>N</v>
      </c>
      <c r="L1023" s="1" t="str">
        <f>RIGHT(Table1[[#This Row],[Item]],2)</f>
        <v>CA</v>
      </c>
      <c r="M1023" s="1" t="s">
        <v>33</v>
      </c>
      <c r="N1023" t="s">
        <v>1044</v>
      </c>
      <c r="O1023" s="1"/>
    </row>
    <row r="1024" spans="1:15" ht="15" customHeight="1">
      <c r="A1024" t="s">
        <v>1045</v>
      </c>
      <c r="B1024" s="1" t="str">
        <f>LEFT(Table1[[#This Row],[Item]], FIND("-", Table1[[#This Row],[Item]]) - 1)</f>
        <v>GX09</v>
      </c>
      <c r="C1024" s="1" t="str">
        <f>MID(LEFT(Table1[[#This Row],[Item]], FIND("{token}", SUBSTITUTE(Table1[[#This Row],[Item]], "-", "{token}", 2)) - 1), FIND("-", Table1[[#This Row],[Item]]) + 1, LEN(Table1[[#This Row],[Item]]))</f>
        <v>D</v>
      </c>
      <c r="D1024" s="1" t="str">
        <f>MID(LEFT(Table1[[#This Row],[Item]], FIND("{token}", SUBSTITUTE(Table1[[#This Row],[Item]], "-", "{token}", 3)) - 1), FIND("{token}", SUBSTITUTE(Table1[[#This Row],[Item]], "-", "{token}", 2)) + 1, LEN(Table1[[#This Row],[Item]]))</f>
        <v>DL</v>
      </c>
      <c r="E1024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2</v>
      </c>
      <c r="F1024" s="1" cm="1">
        <f t="array" ref="F1024">VALUE(INDEX(_xlfn.TEXTSPLIT(Table1[[#This Row],[Item]], "-"), 5))</f>
        <v>0</v>
      </c>
      <c r="G1024" s="1" cm="1">
        <f t="array" ref="G1024">VALUE(INDEX(_xlfn.TEXTSPLIT(Table1[[#This Row],[Item]], "-"), 6))</f>
        <v>2</v>
      </c>
      <c r="H1024" s="1" cm="1">
        <f t="array" ref="H1024">VALUE(INDEX(_xlfn.TEXTSPLIT(Table1[[#This Row],[Item]], "-"), 7))</f>
        <v>0</v>
      </c>
      <c r="I1024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24" s="1" t="str">
        <f>LEFT(RIGHT(Table1[[#This Row],[Item]],6),1)</f>
        <v>Y</v>
      </c>
      <c r="K1024" s="1" t="str">
        <f>MID(A1024, LEN(A1024)-3, 1)</f>
        <v>N</v>
      </c>
      <c r="L1024" s="1" t="str">
        <f>RIGHT(Table1[[#This Row],[Item]],2)</f>
        <v>CA</v>
      </c>
      <c r="M1024" s="1" t="s">
        <v>33</v>
      </c>
      <c r="N1024" t="s">
        <v>1045</v>
      </c>
      <c r="O1024" s="1"/>
    </row>
    <row r="1025" spans="1:15" ht="15" customHeight="1">
      <c r="A1025" t="s">
        <v>1046</v>
      </c>
      <c r="B1025" s="1" t="str">
        <f>LEFT(Table1[[#This Row],[Item]], FIND("-", Table1[[#This Row],[Item]]) - 1)</f>
        <v>GX06</v>
      </c>
      <c r="C1025" s="1" t="str">
        <f>MID(LEFT(Table1[[#This Row],[Item]], FIND("{token}", SUBSTITUTE(Table1[[#This Row],[Item]], "-", "{token}", 2)) - 1), FIND("-", Table1[[#This Row],[Item]]) + 1, LEN(Table1[[#This Row],[Item]]))</f>
        <v>R</v>
      </c>
      <c r="D1025" s="1" t="str">
        <f>MID(LEFT(Table1[[#This Row],[Item]], FIND("{token}", SUBSTITUTE(Table1[[#This Row],[Item]], "-", "{token}", 3)) - 1), FIND("{token}", SUBSTITUTE(Table1[[#This Row],[Item]], "-", "{token}", 2)) + 1, LEN(Table1[[#This Row],[Item]]))</f>
        <v>NN</v>
      </c>
      <c r="E1025" s="1" t="str">
        <f>TRIM(MID(Table1[[#This Row],[Item]], FIND("-", Table1[[#This Row],[Item]], FIND("-", Table1[[#This Row],[Item]], FIND("-", Table1[[#This Row],[Item]]) + 1) + 1) + 1, FIND("-", Table1[[#This Row],[Item]] &amp; "-", FIND("-", Table1[[#This Row],[Item]], FIND("-", Table1[[#This Row],[Item]], FIND("-", Table1[[#This Row],[Item]]) + 1) + 1) + 1) - FIND("-", Table1[[#This Row],[Item]], FIND("-", Table1[[#This Row],[Item]], FIND("-", Table1[[#This Row],[Item]]) + 1) + 1) - 1))</f>
        <v>D1</v>
      </c>
      <c r="F1025" s="1" cm="1">
        <f t="array" ref="F1025">VALUE(INDEX(_xlfn.TEXTSPLIT(Table1[[#This Row],[Item]], "-"), 5))</f>
        <v>0</v>
      </c>
      <c r="G1025" s="1" cm="1">
        <f t="array" ref="G1025">VALUE(INDEX(_xlfn.TEXTSPLIT(Table1[[#This Row],[Item]], "-"), 6))</f>
        <v>1</v>
      </c>
      <c r="H1025" s="1" cm="1">
        <f t="array" ref="H1025">VALUE(INDEX(_xlfn.TEXTSPLIT(Table1[[#This Row],[Item]], "-"), 7))</f>
        <v>0</v>
      </c>
      <c r="I1025" s="1" t="str">
        <f>MID(LEFT(Table1[[#This Row],[Item]], FIND("{token}", SUBSTITUTE(Table1[[#This Row],[Item]], "-", "{token}", 8)) - 1), FIND("{token}", SUBSTITUTE(Table1[[#This Row],[Item]], "-", "{token}", 7)) + 1, LEN(Table1[[#This Row],[Item]]))</f>
        <v>N</v>
      </c>
      <c r="J1025" s="1" t="str">
        <f>LEFT(RIGHT(Table1[[#This Row],[Item]],6),1)</f>
        <v>N</v>
      </c>
      <c r="K1025" s="1" t="str">
        <f>MID(A1025, LEN(A1025)-3, 1)</f>
        <v>N</v>
      </c>
      <c r="L1025" s="1" t="str">
        <f>RIGHT(Table1[[#This Row],[Item]],2)</f>
        <v>DG</v>
      </c>
      <c r="M1025" s="1" t="s">
        <v>33</v>
      </c>
      <c r="N1025" t="s">
        <v>1046</v>
      </c>
      <c r="O1025" s="1"/>
    </row>
  </sheetData>
  <conditionalFormatting sqref="A59:A66 A72:A97 A2:A57">
    <cfRule type="duplicateValues" dxfId="224" priority="266"/>
  </conditionalFormatting>
  <conditionalFormatting sqref="A99">
    <cfRule type="duplicateValues" dxfId="223" priority="243"/>
  </conditionalFormatting>
  <conditionalFormatting sqref="A116">
    <cfRule type="duplicateValues" dxfId="222" priority="241"/>
  </conditionalFormatting>
  <conditionalFormatting sqref="A117">
    <cfRule type="duplicateValues" dxfId="221" priority="240"/>
  </conditionalFormatting>
  <conditionalFormatting sqref="A118">
    <cfRule type="duplicateValues" dxfId="220" priority="239"/>
  </conditionalFormatting>
  <conditionalFormatting sqref="A206:A217">
    <cfRule type="duplicateValues" dxfId="219" priority="185"/>
  </conditionalFormatting>
  <conditionalFormatting sqref="A245">
    <cfRule type="duplicateValues" dxfId="218" priority="180"/>
  </conditionalFormatting>
  <conditionalFormatting sqref="N78">
    <cfRule type="duplicateValues" dxfId="217" priority="230"/>
    <cfRule type="duplicateValues" dxfId="216" priority="231"/>
  </conditionalFormatting>
  <conditionalFormatting sqref="N79">
    <cfRule type="duplicateValues" dxfId="215" priority="228"/>
    <cfRule type="duplicateValues" dxfId="214" priority="229"/>
  </conditionalFormatting>
  <conditionalFormatting sqref="N80">
    <cfRule type="duplicateValues" dxfId="213" priority="226"/>
    <cfRule type="duplicateValues" dxfId="212" priority="227"/>
  </conditionalFormatting>
  <conditionalFormatting sqref="N85">
    <cfRule type="duplicateValues" dxfId="211" priority="224"/>
    <cfRule type="duplicateValues" dxfId="210" priority="225"/>
  </conditionalFormatting>
  <conditionalFormatting sqref="N86:N87">
    <cfRule type="duplicateValues" dxfId="209" priority="222"/>
    <cfRule type="duplicateValues" dxfId="208" priority="223"/>
  </conditionalFormatting>
  <conditionalFormatting sqref="N157">
    <cfRule type="duplicateValues" dxfId="207" priority="236"/>
  </conditionalFormatting>
  <conditionalFormatting sqref="N163">
    <cfRule type="duplicateValues" dxfId="206" priority="235"/>
  </conditionalFormatting>
  <conditionalFormatting sqref="N164">
    <cfRule type="duplicateValues" dxfId="205" priority="234"/>
  </conditionalFormatting>
  <conditionalFormatting sqref="N165">
    <cfRule type="duplicateValues" dxfId="204" priority="233"/>
  </conditionalFormatting>
  <conditionalFormatting sqref="N168">
    <cfRule type="duplicateValues" dxfId="203" priority="232"/>
  </conditionalFormatting>
  <conditionalFormatting sqref="N170">
    <cfRule type="duplicateValues" dxfId="202" priority="220"/>
  </conditionalFormatting>
  <conditionalFormatting sqref="N174">
    <cfRule type="duplicateValues" dxfId="201" priority="218"/>
  </conditionalFormatting>
  <conditionalFormatting sqref="N175">
    <cfRule type="duplicateValues" dxfId="200" priority="217"/>
  </conditionalFormatting>
  <conditionalFormatting sqref="N178">
    <cfRule type="duplicateValues" dxfId="199" priority="216"/>
  </conditionalFormatting>
  <conditionalFormatting sqref="N179">
    <cfRule type="duplicateValues" dxfId="198" priority="215"/>
  </conditionalFormatting>
  <conditionalFormatting sqref="N180">
    <cfRule type="duplicateValues" dxfId="197" priority="214"/>
  </conditionalFormatting>
  <conditionalFormatting sqref="N181">
    <cfRule type="duplicateValues" dxfId="196" priority="213"/>
  </conditionalFormatting>
  <conditionalFormatting sqref="N183">
    <cfRule type="duplicateValues" dxfId="195" priority="212"/>
  </conditionalFormatting>
  <conditionalFormatting sqref="N184">
    <cfRule type="duplicateValues" dxfId="194" priority="211"/>
  </conditionalFormatting>
  <conditionalFormatting sqref="N185">
    <cfRule type="duplicateValues" dxfId="193" priority="209"/>
  </conditionalFormatting>
  <conditionalFormatting sqref="N186">
    <cfRule type="duplicateValues" dxfId="192" priority="208"/>
  </conditionalFormatting>
  <conditionalFormatting sqref="N187">
    <cfRule type="duplicateValues" dxfId="191" priority="207"/>
  </conditionalFormatting>
  <conditionalFormatting sqref="N188">
    <cfRule type="duplicateValues" dxfId="190" priority="206"/>
  </conditionalFormatting>
  <conditionalFormatting sqref="N189">
    <cfRule type="duplicateValues" dxfId="189" priority="204"/>
  </conditionalFormatting>
  <conditionalFormatting sqref="N190">
    <cfRule type="duplicateValues" dxfId="188" priority="203"/>
  </conditionalFormatting>
  <conditionalFormatting sqref="N191">
    <cfRule type="duplicateValues" dxfId="187" priority="202"/>
  </conditionalFormatting>
  <conditionalFormatting sqref="N192">
    <cfRule type="duplicateValues" dxfId="186" priority="201"/>
  </conditionalFormatting>
  <conditionalFormatting sqref="N193">
    <cfRule type="duplicateValues" dxfId="185" priority="200"/>
  </conditionalFormatting>
  <conditionalFormatting sqref="N194">
    <cfRule type="duplicateValues" dxfId="184" priority="199"/>
  </conditionalFormatting>
  <conditionalFormatting sqref="N195">
    <cfRule type="duplicateValues" dxfId="183" priority="198"/>
  </conditionalFormatting>
  <conditionalFormatting sqref="N196">
    <cfRule type="duplicateValues" dxfId="182" priority="197"/>
  </conditionalFormatting>
  <conditionalFormatting sqref="N197">
    <cfRule type="duplicateValues" dxfId="181" priority="196"/>
  </conditionalFormatting>
  <conditionalFormatting sqref="N198">
    <cfRule type="duplicateValues" dxfId="180" priority="195"/>
  </conditionalFormatting>
  <conditionalFormatting sqref="N199">
    <cfRule type="duplicateValues" dxfId="179" priority="194"/>
  </conditionalFormatting>
  <conditionalFormatting sqref="N200">
    <cfRule type="duplicateValues" dxfId="178" priority="193"/>
  </conditionalFormatting>
  <conditionalFormatting sqref="N201">
    <cfRule type="duplicateValues" dxfId="177" priority="192"/>
  </conditionalFormatting>
  <conditionalFormatting sqref="N202">
    <cfRule type="duplicateValues" dxfId="176" priority="191"/>
  </conditionalFormatting>
  <conditionalFormatting sqref="N203">
    <cfRule type="duplicateValues" dxfId="175" priority="190"/>
  </conditionalFormatting>
  <conditionalFormatting sqref="N204">
    <cfRule type="duplicateValues" dxfId="174" priority="189"/>
  </conditionalFormatting>
  <conditionalFormatting sqref="N205">
    <cfRule type="duplicateValues" dxfId="173" priority="186"/>
  </conditionalFormatting>
  <conditionalFormatting sqref="N206:N217">
    <cfRule type="duplicateValues" dxfId="172" priority="183"/>
  </conditionalFormatting>
  <conditionalFormatting sqref="N206:N242">
    <cfRule type="duplicateValues" dxfId="171" priority="301"/>
  </conditionalFormatting>
  <conditionalFormatting sqref="N243">
    <cfRule type="duplicateValues" dxfId="170" priority="182"/>
  </conditionalFormatting>
  <conditionalFormatting sqref="N244">
    <cfRule type="duplicateValues" dxfId="169" priority="181"/>
  </conditionalFormatting>
  <conditionalFormatting sqref="N245">
    <cfRule type="duplicateValues" dxfId="168" priority="178"/>
    <cfRule type="duplicateValues" dxfId="167" priority="179"/>
  </conditionalFormatting>
  <conditionalFormatting sqref="N246">
    <cfRule type="duplicateValues" dxfId="166" priority="177"/>
  </conditionalFormatting>
  <conditionalFormatting sqref="N247">
    <cfRule type="duplicateValues" dxfId="165" priority="176"/>
  </conditionalFormatting>
  <conditionalFormatting sqref="N248">
    <cfRule type="duplicateValues" dxfId="164" priority="175"/>
  </conditionalFormatting>
  <conditionalFormatting sqref="N250">
    <cfRule type="duplicateValues" dxfId="163" priority="173"/>
  </conditionalFormatting>
  <conditionalFormatting sqref="N251">
    <cfRule type="duplicateValues" dxfId="162" priority="172"/>
  </conditionalFormatting>
  <conditionalFormatting sqref="N252">
    <cfRule type="duplicateValues" dxfId="161" priority="171"/>
  </conditionalFormatting>
  <conditionalFormatting sqref="N253">
    <cfRule type="duplicateValues" dxfId="160" priority="170"/>
  </conditionalFormatting>
  <conditionalFormatting sqref="N254">
    <cfRule type="duplicateValues" dxfId="159" priority="169"/>
  </conditionalFormatting>
  <conditionalFormatting sqref="N255">
    <cfRule type="duplicateValues" dxfId="158" priority="168"/>
  </conditionalFormatting>
  <conditionalFormatting sqref="N256">
    <cfRule type="duplicateValues" dxfId="157" priority="167"/>
  </conditionalFormatting>
  <conditionalFormatting sqref="N257">
    <cfRule type="duplicateValues" dxfId="156" priority="166"/>
  </conditionalFormatting>
  <conditionalFormatting sqref="N258">
    <cfRule type="duplicateValues" dxfId="155" priority="165"/>
  </conditionalFormatting>
  <conditionalFormatting sqref="N259">
    <cfRule type="duplicateValues" dxfId="154" priority="163"/>
  </conditionalFormatting>
  <conditionalFormatting sqref="N260">
    <cfRule type="duplicateValues" dxfId="153" priority="162"/>
  </conditionalFormatting>
  <conditionalFormatting sqref="N261">
    <cfRule type="duplicateValues" dxfId="152" priority="161"/>
  </conditionalFormatting>
  <conditionalFormatting sqref="N262">
    <cfRule type="duplicateValues" dxfId="151" priority="160"/>
  </conditionalFormatting>
  <conditionalFormatting sqref="N263">
    <cfRule type="duplicateValues" dxfId="150" priority="159"/>
  </conditionalFormatting>
  <conditionalFormatting sqref="N264">
    <cfRule type="duplicateValues" dxfId="149" priority="158"/>
  </conditionalFormatting>
  <conditionalFormatting sqref="N265">
    <cfRule type="duplicateValues" dxfId="148" priority="157"/>
  </conditionalFormatting>
  <conditionalFormatting sqref="N266">
    <cfRule type="duplicateValues" dxfId="147" priority="156"/>
  </conditionalFormatting>
  <conditionalFormatting sqref="N267">
    <cfRule type="duplicateValues" dxfId="146" priority="155"/>
  </conditionalFormatting>
  <conditionalFormatting sqref="N268">
    <cfRule type="duplicateValues" dxfId="145" priority="154"/>
  </conditionalFormatting>
  <conditionalFormatting sqref="N269">
    <cfRule type="duplicateValues" dxfId="144" priority="149"/>
  </conditionalFormatting>
  <conditionalFormatting sqref="N270">
    <cfRule type="duplicateValues" dxfId="143" priority="151"/>
  </conditionalFormatting>
  <conditionalFormatting sqref="N271">
    <cfRule type="duplicateValues" dxfId="142" priority="148"/>
  </conditionalFormatting>
  <conditionalFormatting sqref="N272">
    <cfRule type="duplicateValues" dxfId="141" priority="147"/>
  </conditionalFormatting>
  <conditionalFormatting sqref="N273">
    <cfRule type="duplicateValues" dxfId="140" priority="146"/>
  </conditionalFormatting>
  <conditionalFormatting sqref="N274">
    <cfRule type="duplicateValues" dxfId="139" priority="144"/>
  </conditionalFormatting>
  <conditionalFormatting sqref="N275">
    <cfRule type="duplicateValues" dxfId="138" priority="143"/>
  </conditionalFormatting>
  <conditionalFormatting sqref="N276">
    <cfRule type="duplicateValues" dxfId="137" priority="142"/>
  </conditionalFormatting>
  <conditionalFormatting sqref="N277">
    <cfRule type="duplicateValues" dxfId="136" priority="140"/>
  </conditionalFormatting>
  <conditionalFormatting sqref="N278">
    <cfRule type="duplicateValues" dxfId="135" priority="139"/>
  </conditionalFormatting>
  <conditionalFormatting sqref="N279">
    <cfRule type="duplicateValues" dxfId="134" priority="138"/>
  </conditionalFormatting>
  <conditionalFormatting sqref="N281">
    <cfRule type="duplicateValues" dxfId="133" priority="137"/>
  </conditionalFormatting>
  <conditionalFormatting sqref="N282">
    <cfRule type="duplicateValues" dxfId="132" priority="136"/>
  </conditionalFormatting>
  <conditionalFormatting sqref="N284">
    <cfRule type="duplicateValues" dxfId="131" priority="134"/>
  </conditionalFormatting>
  <conditionalFormatting sqref="N285">
    <cfRule type="duplicateValues" dxfId="130" priority="133"/>
  </conditionalFormatting>
  <conditionalFormatting sqref="N286">
    <cfRule type="duplicateValues" dxfId="129" priority="132"/>
  </conditionalFormatting>
  <conditionalFormatting sqref="N287">
    <cfRule type="duplicateValues" dxfId="128" priority="131"/>
  </conditionalFormatting>
  <conditionalFormatting sqref="N288">
    <cfRule type="duplicateValues" dxfId="127" priority="130"/>
  </conditionalFormatting>
  <conditionalFormatting sqref="N289">
    <cfRule type="duplicateValues" dxfId="126" priority="129"/>
  </conditionalFormatting>
  <conditionalFormatting sqref="N290">
    <cfRule type="duplicateValues" dxfId="125" priority="126"/>
  </conditionalFormatting>
  <conditionalFormatting sqref="N291">
    <cfRule type="duplicateValues" dxfId="124" priority="127"/>
  </conditionalFormatting>
  <conditionalFormatting sqref="N292">
    <cfRule type="duplicateValues" dxfId="123" priority="125"/>
  </conditionalFormatting>
  <conditionalFormatting sqref="N293">
    <cfRule type="duplicateValues" dxfId="122" priority="124"/>
  </conditionalFormatting>
  <conditionalFormatting sqref="N294">
    <cfRule type="duplicateValues" dxfId="121" priority="123"/>
  </conditionalFormatting>
  <conditionalFormatting sqref="N295">
    <cfRule type="duplicateValues" dxfId="120" priority="122"/>
  </conditionalFormatting>
  <conditionalFormatting sqref="N296">
    <cfRule type="duplicateValues" dxfId="119" priority="121"/>
  </conditionalFormatting>
  <conditionalFormatting sqref="N297">
    <cfRule type="duplicateValues" dxfId="118" priority="120"/>
  </conditionalFormatting>
  <conditionalFormatting sqref="N298">
    <cfRule type="duplicateValues" dxfId="117" priority="119"/>
  </conditionalFormatting>
  <conditionalFormatting sqref="N299">
    <cfRule type="duplicateValues" dxfId="116" priority="118"/>
  </conditionalFormatting>
  <conditionalFormatting sqref="N300">
    <cfRule type="duplicateValues" dxfId="115" priority="117"/>
  </conditionalFormatting>
  <conditionalFormatting sqref="N301">
    <cfRule type="duplicateValues" dxfId="114" priority="116"/>
  </conditionalFormatting>
  <conditionalFormatting sqref="N302">
    <cfRule type="duplicateValues" dxfId="113" priority="115"/>
  </conditionalFormatting>
  <conditionalFormatting sqref="N303">
    <cfRule type="duplicateValues" dxfId="112" priority="114"/>
  </conditionalFormatting>
  <conditionalFormatting sqref="N304">
    <cfRule type="duplicateValues" dxfId="111" priority="100"/>
  </conditionalFormatting>
  <conditionalFormatting sqref="N305">
    <cfRule type="duplicateValues" dxfId="110" priority="111"/>
  </conditionalFormatting>
  <conditionalFormatting sqref="N306">
    <cfRule type="duplicateValues" dxfId="109" priority="109"/>
  </conditionalFormatting>
  <conditionalFormatting sqref="N307">
    <cfRule type="duplicateValues" dxfId="108" priority="108"/>
  </conditionalFormatting>
  <conditionalFormatting sqref="N308">
    <cfRule type="duplicateValues" dxfId="107" priority="107"/>
  </conditionalFormatting>
  <conditionalFormatting sqref="N309">
    <cfRule type="duplicateValues" dxfId="106" priority="102"/>
  </conditionalFormatting>
  <conditionalFormatting sqref="N310">
    <cfRule type="duplicateValues" dxfId="105" priority="104"/>
  </conditionalFormatting>
  <conditionalFormatting sqref="N311">
    <cfRule type="duplicateValues" dxfId="104" priority="103"/>
  </conditionalFormatting>
  <conditionalFormatting sqref="N312">
    <cfRule type="duplicateValues" dxfId="103" priority="101"/>
  </conditionalFormatting>
  <conditionalFormatting sqref="N313">
    <cfRule type="duplicateValues" dxfId="102" priority="99"/>
  </conditionalFormatting>
  <conditionalFormatting sqref="N314">
    <cfRule type="duplicateValues" dxfId="101" priority="98"/>
  </conditionalFormatting>
  <conditionalFormatting sqref="N316">
    <cfRule type="duplicateValues" dxfId="100" priority="97"/>
  </conditionalFormatting>
  <conditionalFormatting sqref="N317">
    <cfRule type="duplicateValues" dxfId="99" priority="96"/>
  </conditionalFormatting>
  <conditionalFormatting sqref="N318">
    <cfRule type="duplicateValues" dxfId="98" priority="95"/>
  </conditionalFormatting>
  <conditionalFormatting sqref="N319">
    <cfRule type="duplicateValues" dxfId="97" priority="94"/>
  </conditionalFormatting>
  <conditionalFormatting sqref="N320">
    <cfRule type="duplicateValues" dxfId="96" priority="93"/>
  </conditionalFormatting>
  <conditionalFormatting sqref="N321">
    <cfRule type="duplicateValues" dxfId="95" priority="92"/>
  </conditionalFormatting>
  <conditionalFormatting sqref="N322">
    <cfRule type="duplicateValues" dxfId="94" priority="91"/>
  </conditionalFormatting>
  <conditionalFormatting sqref="N323">
    <cfRule type="duplicateValues" dxfId="93" priority="90"/>
  </conditionalFormatting>
  <conditionalFormatting sqref="N324">
    <cfRule type="duplicateValues" dxfId="92" priority="89"/>
  </conditionalFormatting>
  <conditionalFormatting sqref="N325">
    <cfRule type="duplicateValues" dxfId="91" priority="88"/>
  </conditionalFormatting>
  <conditionalFormatting sqref="N326">
    <cfRule type="duplicateValues" dxfId="90" priority="87"/>
  </conditionalFormatting>
  <conditionalFormatting sqref="N327">
    <cfRule type="duplicateValues" dxfId="89" priority="86"/>
  </conditionalFormatting>
  <conditionalFormatting sqref="N328">
    <cfRule type="duplicateValues" dxfId="88" priority="85"/>
  </conditionalFormatting>
  <conditionalFormatting sqref="N329">
    <cfRule type="duplicateValues" dxfId="87" priority="84"/>
  </conditionalFormatting>
  <conditionalFormatting sqref="N330">
    <cfRule type="duplicateValues" dxfId="86" priority="83"/>
  </conditionalFormatting>
  <conditionalFormatting sqref="N332">
    <cfRule type="duplicateValues" dxfId="85" priority="81"/>
  </conditionalFormatting>
  <conditionalFormatting sqref="N333">
    <cfRule type="duplicateValues" dxfId="84" priority="80"/>
  </conditionalFormatting>
  <conditionalFormatting sqref="N998">
    <cfRule type="duplicateValues" dxfId="83" priority="77"/>
    <cfRule type="duplicateValues" dxfId="82" priority="78"/>
  </conditionalFormatting>
  <conditionalFormatting sqref="N999">
    <cfRule type="duplicateValues" dxfId="81" priority="75"/>
    <cfRule type="duplicateValues" dxfId="80" priority="76"/>
  </conditionalFormatting>
  <conditionalFormatting sqref="N1000">
    <cfRule type="duplicateValues" dxfId="79" priority="73"/>
    <cfRule type="duplicateValues" dxfId="78" priority="74"/>
  </conditionalFormatting>
  <conditionalFormatting sqref="N1001">
    <cfRule type="duplicateValues" dxfId="77" priority="71"/>
    <cfRule type="duplicateValues" dxfId="76" priority="72"/>
  </conditionalFormatting>
  <conditionalFormatting sqref="N1002">
    <cfRule type="duplicateValues" dxfId="75" priority="69"/>
    <cfRule type="duplicateValues" dxfId="74" priority="70"/>
  </conditionalFormatting>
  <conditionalFormatting sqref="N1003">
    <cfRule type="duplicateValues" dxfId="73" priority="67"/>
    <cfRule type="duplicateValues" dxfId="72" priority="68"/>
  </conditionalFormatting>
  <conditionalFormatting sqref="N1004">
    <cfRule type="duplicateValues" dxfId="71" priority="65"/>
    <cfRule type="duplicateValues" dxfId="70" priority="66"/>
  </conditionalFormatting>
  <conditionalFormatting sqref="N1005">
    <cfRule type="duplicateValues" dxfId="69" priority="63"/>
    <cfRule type="duplicateValues" dxfId="68" priority="64"/>
  </conditionalFormatting>
  <conditionalFormatting sqref="N1006">
    <cfRule type="duplicateValues" dxfId="67" priority="61"/>
    <cfRule type="duplicateValues" dxfId="66" priority="62"/>
  </conditionalFormatting>
  <conditionalFormatting sqref="N1008">
    <cfRule type="duplicateValues" dxfId="65" priority="57"/>
    <cfRule type="duplicateValues" dxfId="64" priority="58"/>
  </conditionalFormatting>
  <conditionalFormatting sqref="N1009">
    <cfRule type="duplicateValues" dxfId="63" priority="55"/>
    <cfRule type="duplicateValues" dxfId="62" priority="56"/>
  </conditionalFormatting>
  <conditionalFormatting sqref="N1010">
    <cfRule type="duplicateValues" dxfId="61" priority="53"/>
    <cfRule type="duplicateValues" dxfId="60" priority="54"/>
  </conditionalFormatting>
  <conditionalFormatting sqref="N1011">
    <cfRule type="duplicateValues" dxfId="59" priority="51"/>
    <cfRule type="duplicateValues" dxfId="58" priority="52"/>
  </conditionalFormatting>
  <conditionalFormatting sqref="N1012">
    <cfRule type="duplicateValues" dxfId="57" priority="47"/>
    <cfRule type="duplicateValues" dxfId="56" priority="48"/>
  </conditionalFormatting>
  <conditionalFormatting sqref="N1013">
    <cfRule type="duplicateValues" dxfId="55" priority="45"/>
    <cfRule type="duplicateValues" dxfId="54" priority="46"/>
  </conditionalFormatting>
  <conditionalFormatting sqref="N1014">
    <cfRule type="duplicateValues" dxfId="53" priority="43"/>
    <cfRule type="duplicateValues" dxfId="52" priority="44"/>
  </conditionalFormatting>
  <conditionalFormatting sqref="N1015">
    <cfRule type="duplicateValues" dxfId="51" priority="41"/>
    <cfRule type="duplicateValues" dxfId="50" priority="42"/>
  </conditionalFormatting>
  <conditionalFormatting sqref="N1016">
    <cfRule type="duplicateValues" dxfId="49" priority="39"/>
    <cfRule type="duplicateValues" dxfId="48" priority="40"/>
  </conditionalFormatting>
  <conditionalFormatting sqref="N1017">
    <cfRule type="duplicateValues" dxfId="47" priority="37"/>
    <cfRule type="duplicateValues" dxfId="46" priority="38"/>
  </conditionalFormatting>
  <conditionalFormatting sqref="N1018">
    <cfRule type="duplicateValues" dxfId="45" priority="35"/>
    <cfRule type="duplicateValues" dxfId="44" priority="36"/>
  </conditionalFormatting>
  <conditionalFormatting sqref="N1019">
    <cfRule type="duplicateValues" dxfId="43" priority="33"/>
    <cfRule type="duplicateValues" dxfId="42" priority="34"/>
  </conditionalFormatting>
  <conditionalFormatting sqref="N1020">
    <cfRule type="duplicateValues" dxfId="41" priority="31"/>
    <cfRule type="duplicateValues" dxfId="40" priority="32"/>
  </conditionalFormatting>
  <conditionalFormatting sqref="A2:A1025">
    <cfRule type="duplicateValues" dxfId="39" priority="320"/>
    <cfRule type="duplicateValues" dxfId="38" priority="321"/>
  </conditionalFormatting>
  <conditionalFormatting sqref="N1021">
    <cfRule type="duplicateValues" dxfId="37" priority="29"/>
    <cfRule type="duplicateValues" dxfId="36" priority="30"/>
  </conditionalFormatting>
  <conditionalFormatting sqref="N1022">
    <cfRule type="duplicateValues" dxfId="35" priority="27"/>
    <cfRule type="duplicateValues" dxfId="34" priority="28"/>
  </conditionalFormatting>
  <conditionalFormatting sqref="N1023">
    <cfRule type="duplicateValues" dxfId="33" priority="25"/>
    <cfRule type="duplicateValues" dxfId="32" priority="26"/>
  </conditionalFormatting>
  <conditionalFormatting sqref="N1024">
    <cfRule type="duplicateValues" dxfId="31" priority="23"/>
    <cfRule type="duplicateValues" dxfId="30" priority="24"/>
  </conditionalFormatting>
  <conditionalFormatting sqref="N1025">
    <cfRule type="duplicateValues" dxfId="29" priority="21"/>
    <cfRule type="duplicateValues" dxfId="28" priority="22"/>
  </conditionalFormatting>
  <conditionalFormatting sqref="N331">
    <cfRule type="duplicateValues" dxfId="27" priority="13"/>
    <cfRule type="duplicateValues" dxfId="26" priority="14"/>
  </conditionalFormatting>
  <conditionalFormatting sqref="N663">
    <cfRule type="duplicateValues" dxfId="25" priority="11"/>
    <cfRule type="duplicateValues" dxfId="24" priority="12"/>
  </conditionalFormatting>
  <conditionalFormatting sqref="N995">
    <cfRule type="duplicateValues" dxfId="23" priority="9"/>
    <cfRule type="duplicateValues" dxfId="22" priority="10"/>
  </conditionalFormatting>
  <conditionalFormatting sqref="N1007">
    <cfRule type="duplicateValues" dxfId="21" priority="7"/>
    <cfRule type="duplicateValues" dxfId="20" priority="8"/>
  </conditionalFormatting>
  <conditionalFormatting sqref="N283">
    <cfRule type="duplicateValues" dxfId="19" priority="5"/>
    <cfRule type="duplicateValues" dxfId="18" priority="6"/>
  </conditionalFormatting>
  <conditionalFormatting sqref="N615">
    <cfRule type="duplicateValues" dxfId="17" priority="3"/>
    <cfRule type="duplicateValues" dxfId="16" priority="4"/>
  </conditionalFormatting>
  <conditionalFormatting sqref="N947">
    <cfRule type="duplicateValues" dxfId="15" priority="1"/>
    <cfRule type="duplicateValues" dxfId="14" priority="2"/>
  </conditionalFormatting>
  <pageMargins left="0.25" right="0.25" top="0.75" bottom="0.75" header="0.3" footer="0.3"/>
  <pageSetup scale="72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Brown</dc:creator>
  <cp:keywords/>
  <dc:description/>
  <cp:lastModifiedBy>Dennis Brown</cp:lastModifiedBy>
  <cp:revision/>
  <dcterms:created xsi:type="dcterms:W3CDTF">2023-01-09T20:47:14Z</dcterms:created>
  <dcterms:modified xsi:type="dcterms:W3CDTF">2026-07-21T15:38:33Z</dcterms:modified>
  <cp:category/>
  <cp:contentStatus/>
</cp:coreProperties>
</file>